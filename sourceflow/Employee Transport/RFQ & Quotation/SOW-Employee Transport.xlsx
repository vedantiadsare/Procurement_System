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26"/>
  <workbookPr defaultThemeVersion="124226"/>
  <mc:AlternateContent xmlns:mc="http://schemas.openxmlformats.org/markup-compatibility/2006">
    <mc:Choice Requires="x15">
      <x15ac:absPath xmlns:x15ac="http://schemas.microsoft.com/office/spreadsheetml/2010/11/ac" url="https://volkswagengroup-my.sharepoint.com/personal/nilesh_koram_vwgds_in/Documents/Desktop/Consolidated File for Dashboard/"/>
    </mc:Choice>
  </mc:AlternateContent>
  <xr:revisionPtr revIDLastSave="19" documentId="13_ncr:1_{32D9CC4B-31BB-4A48-9272-90A2FB6D9E55}" xr6:coauthVersionLast="47" xr6:coauthVersionMax="47" xr10:uidLastSave="{E3DF47E5-D8CC-4E3B-85AB-EB69ECA2128D}"/>
  <bookViews>
    <workbookView xWindow="-110" yWindow="-110" windowWidth="19420" windowHeight="10300" tabRatio="902" xr2:uid="{00000000-000D-0000-FFFF-FFFF00000000}"/>
  </bookViews>
  <sheets>
    <sheet name="Basics of RFQ" sheetId="14" r:id="rId1"/>
    <sheet name="Project Cost" sheetId="13" r:id="rId2"/>
    <sheet name="Price Matrix- Pune CNG" sheetId="8" r:id="rId3"/>
    <sheet name="Proposed trips &amp; vehicel models" sheetId="22" state="hidden" r:id="rId4"/>
  </sheets>
  <definedNames>
    <definedName name="_xlnm.Print_Area" localSheetId="1">'Project Cost'!$A$1:$D$7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 i="8" l="1"/>
  <c r="H2" i="8"/>
  <c r="H7" i="8"/>
  <c r="H6" i="8"/>
  <c r="H8" i="8" l="1"/>
  <c r="G8" i="8"/>
  <c r="H5" i="8" l="1"/>
  <c r="H4" i="8"/>
  <c r="D2" i="13" l="1"/>
  <c r="D3" i="13" l="1"/>
  <c r="D4" i="13" s="1"/>
  <c r="D5" i="13" s="1"/>
  <c r="D6" i="13" s="1"/>
  <c r="D7" i="13" l="1"/>
</calcChain>
</file>

<file path=xl/sharedStrings.xml><?xml version="1.0" encoding="utf-8"?>
<sst xmlns="http://schemas.openxmlformats.org/spreadsheetml/2006/main" count="69" uniqueCount="59">
  <si>
    <t>Sr No</t>
  </si>
  <si>
    <t>Item</t>
  </si>
  <si>
    <t>UOM</t>
  </si>
  <si>
    <t>Unit Rate</t>
  </si>
  <si>
    <t>Amount - Year 1</t>
  </si>
  <si>
    <t>Annual Projected Cost per Year</t>
  </si>
  <si>
    <t>Counting Mechanism</t>
  </si>
  <si>
    <t>Projected Cost for Pune - Year 1</t>
  </si>
  <si>
    <t>Projected Cost for Pune - Year 2</t>
  </si>
  <si>
    <t>Projected Cost for Pune - Year 3</t>
  </si>
  <si>
    <t>Price Increment
%</t>
  </si>
  <si>
    <t>Projected Cost</t>
  </si>
  <si>
    <t>Index</t>
  </si>
  <si>
    <t>Details</t>
  </si>
  <si>
    <t>RFQ</t>
  </si>
  <si>
    <t>Pricing</t>
  </si>
  <si>
    <t xml:space="preserve">Hybrid Working Model </t>
  </si>
  <si>
    <t>This will be as per Hybrid working model approved by the VWITS</t>
  </si>
  <si>
    <t>Slab</t>
  </si>
  <si>
    <t>0-10</t>
  </si>
  <si>
    <t>0-20</t>
  </si>
  <si>
    <t>0-30</t>
  </si>
  <si>
    <t>0-40</t>
  </si>
  <si>
    <t>0-50</t>
  </si>
  <si>
    <t>4 Seater</t>
  </si>
  <si>
    <t>6 Seater</t>
  </si>
  <si>
    <t>17 Seater</t>
  </si>
  <si>
    <t>KMs</t>
  </si>
  <si>
    <t>Please note- This KM numbers are indicative of July month  as per current working model and may change in near future</t>
  </si>
  <si>
    <t>Toll (fastag) and parking</t>
  </si>
  <si>
    <t>At Actuals</t>
  </si>
  <si>
    <r>
      <t xml:space="preserve">Only </t>
    </r>
    <r>
      <rPr>
        <b/>
        <u/>
        <sz val="11"/>
        <color theme="1"/>
        <rFont val="Calibri"/>
        <family val="2"/>
        <scheme val="minor"/>
      </rPr>
      <t>Yellow highlighted</t>
    </r>
    <r>
      <rPr>
        <sz val="11"/>
        <color theme="1"/>
        <rFont val="Calibri"/>
        <family val="2"/>
        <scheme val="minor"/>
      </rPr>
      <t xml:space="preserve"> items in next sheets to be amended by bidder to fill up RFQ.
Any change in formula or editing of non-editable area will </t>
    </r>
    <r>
      <rPr>
        <b/>
        <u/>
        <sz val="11"/>
        <color theme="1"/>
        <rFont val="Calibri"/>
        <family val="2"/>
        <scheme val="minor"/>
      </rPr>
      <t>disqualify you form tender</t>
    </r>
    <r>
      <rPr>
        <sz val="11"/>
        <color theme="1"/>
        <rFont val="Calibri"/>
        <family val="2"/>
        <scheme val="minor"/>
      </rPr>
      <t>.</t>
    </r>
  </si>
  <si>
    <r>
      <t xml:space="preserve">Supplier has to ensure minimum back up cars &amp; Manpower availability in location to avoid any kind of issue in Operation from Start of Operation,
Failure to which will attract penalty. Penalty will be applied as per </t>
    </r>
    <r>
      <rPr>
        <b/>
        <u/>
        <sz val="11"/>
        <color rgb="FFFF0000"/>
        <rFont val="Calibri"/>
        <family val="2"/>
        <scheme val="minor"/>
      </rPr>
      <t>defined SLA and KPI's.</t>
    </r>
  </si>
  <si>
    <t>Supplier to fulfill all Legal, Environmental, Health &amp; Safety, HR related compliance laid by VWITS &amp; Local government guildelines,  failure to which will attract penalty (as per defined SLA &amp; KPI's) and/ or immediate termination.</t>
  </si>
  <si>
    <t>Payment Methodology</t>
  </si>
  <si>
    <t>KM package</t>
  </si>
  <si>
    <t xml:space="preserve">All pricing and amount are to be pure round up values except Daily minimum wages (If any).
</t>
  </si>
  <si>
    <r>
      <t xml:space="preserve">Vendor to sign and stamp this whole RFQ document and send soft copy of the same via email to </t>
    </r>
    <r>
      <rPr>
        <b/>
        <u/>
        <sz val="11"/>
        <color theme="1"/>
        <rFont val="Calibri"/>
        <family val="2"/>
        <scheme val="minor"/>
      </rPr>
      <t>commercial team</t>
    </r>
    <r>
      <rPr>
        <b/>
        <sz val="11"/>
        <color theme="1"/>
        <rFont val="Calibri"/>
        <family val="2"/>
        <scheme val="minor"/>
      </rPr>
      <t xml:space="preserve"> ONLY.</t>
    </r>
  </si>
  <si>
    <t>Projected Cost for Pune - Year 4</t>
  </si>
  <si>
    <t>Qty / month</t>
  </si>
  <si>
    <t>Note:-</t>
  </si>
  <si>
    <t>Values mentioned in column E is approximate value and can change as per VWITS requirements.</t>
  </si>
  <si>
    <t>Hrs</t>
  </si>
  <si>
    <t>Extra KM rate - 4 seater variant (Rate only)</t>
  </si>
  <si>
    <t>Extra KM rate - 6 seater variant (Rate only)</t>
  </si>
  <si>
    <t>Extra hour rate for driver (Rate only)</t>
  </si>
  <si>
    <t>Police verification of driver is mandatory and validity of verifications is considered as 1 years from date of issuance</t>
  </si>
  <si>
    <t xml:space="preserve">Duration </t>
  </si>
  <si>
    <t>Package</t>
  </si>
  <si>
    <t>Projected Cost for Pune - Year 5</t>
  </si>
  <si>
    <t>Vehicle Milage for 4 Seater CNG is fixed to 18KM/Kg</t>
  </si>
  <si>
    <t>Vehicle Milage for 6 Seater CNG is fixed to 16KM/Kg</t>
  </si>
  <si>
    <t>For any 10% increase in CNG prices, below mentioned milage to considered.</t>
  </si>
  <si>
    <t>Vehicle age should be 0-3 years only. 50% Vehicles should be new</t>
  </si>
  <si>
    <r>
      <t xml:space="preserve">Running KMs estimate is based on Per day 12 hrs &amp; Upto 26 days running in a month (Our monthly running will range form 22 days to 26 days). 
Number of cars are estimated however, this will change based on the requirement every day. 
Billing to be done based on final rate per car per month.
Extra KMs &amp; Extra hrs will be paid at actual as per the agreed rates and mentioned in this Contract. 
1. Fixed 15 km/day/car as a Garage kilometer (To &amp; Fro) are to be included in the 300kms package. 
</t>
    </r>
    <r>
      <rPr>
        <sz val="11"/>
        <color rgb="FFFF0000"/>
        <rFont val="Calibri"/>
        <family val="2"/>
        <scheme val="minor"/>
      </rPr>
      <t>2. Per Car package cost is Fixed, 10% hike in fuel charges vs agreed rate will be considered as variable cost applicable for package and extra KM's.</t>
    </r>
    <r>
      <rPr>
        <sz val="11"/>
        <color theme="1"/>
        <rFont val="Calibri"/>
        <family val="2"/>
        <scheme val="minor"/>
      </rPr>
      <t xml:space="preserve">
3. VWITS reserves the right of Share of Business with multiple vendors (Ex. 50% to one supplier and 50% another supplier in which case the bucketing KMs will reduce accordingly). 
4. In case supplier fails to pick-up the employee and ask employee to come on own, supplier will pay the actual cost incurrred through cab directly to employee. 
5. Roster will be managed by Vendor staff.
6. Vehicle age: </t>
    </r>
    <r>
      <rPr>
        <b/>
        <sz val="11"/>
        <color rgb="FFFF0000"/>
        <rFont val="Calibri"/>
        <family val="2"/>
        <scheme val="minor"/>
      </rPr>
      <t>Refer Price Matrix sheet for more details</t>
    </r>
    <r>
      <rPr>
        <sz val="11"/>
        <color theme="1"/>
        <rFont val="Calibri"/>
        <family val="2"/>
        <scheme val="minor"/>
      </rPr>
      <t xml:space="preserve">
</t>
    </r>
    <r>
      <rPr>
        <sz val="11"/>
        <color rgb="FFFF0000"/>
        <rFont val="Calibri"/>
        <family val="2"/>
        <scheme val="minor"/>
      </rPr>
      <t>7. Vehicle Milage for 4 Seater CNG is fixed to 18KM/Kg
8. Vehicle Milage for 6 Seater CNG is fixed to 16KM/Kg</t>
    </r>
  </si>
  <si>
    <r>
      <t>This RFQ consist of Employee transport services using CNG vehicles</t>
    </r>
    <r>
      <rPr>
        <b/>
        <sz val="11"/>
        <color theme="1"/>
        <rFont val="Calibri"/>
        <family val="2"/>
        <scheme val="minor"/>
      </rPr>
      <t xml:space="preserve"> for Digital Solutions Pune </t>
    </r>
    <r>
      <rPr>
        <sz val="11"/>
        <color theme="1"/>
        <rFont val="Calibri"/>
        <family val="2"/>
        <scheme val="minor"/>
      </rPr>
      <t>for 5 years</t>
    </r>
  </si>
  <si>
    <t>Employee transportation services- 6 seater variant(Maruti Ertiga) 300km package</t>
  </si>
  <si>
    <t>Employee transportation services- 4 seater variant (Maruti Dzire, Hyundai aura, Tata tigor) 300km package</t>
  </si>
  <si>
    <t xml:space="preserve">Fixed 15 kms per vehicle per day (to and fro put together) will be considered as Garage KM which will be within the cumulative 300 km package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</si>
</sst>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INR]\ #,##0.00"/>
  </numFmts>
  <fonts count="14" x14ac:knownFonts="1">
    <font>
      <sz val="11"/>
      <color theme="1"/>
      <name val="Calibri"/>
      <family val="2"/>
      <scheme val="minor"/>
    </font>
    <font>
      <b/>
      <sz val="11"/>
      <color theme="1"/>
      <name val="Calibri"/>
      <family val="2"/>
      <scheme val="minor"/>
    </font>
    <font>
      <sz val="10"/>
      <name val="Arial"/>
      <family val="2"/>
    </font>
    <font>
      <b/>
      <sz val="12"/>
      <color theme="1"/>
      <name val="Calibri"/>
      <family val="2"/>
      <scheme val="minor"/>
    </font>
    <font>
      <sz val="11"/>
      <color theme="1"/>
      <name val="Calibri"/>
      <family val="2"/>
      <scheme val="minor"/>
    </font>
    <font>
      <b/>
      <u/>
      <sz val="11"/>
      <color theme="1"/>
      <name val="Calibri"/>
      <family val="2"/>
      <scheme val="minor"/>
    </font>
    <font>
      <sz val="10"/>
      <name val="Arial"/>
      <family val="2"/>
    </font>
    <font>
      <b/>
      <sz val="11"/>
      <color rgb="FF000000"/>
      <name val="Calibri"/>
      <family val="2"/>
      <scheme val="minor"/>
    </font>
    <font>
      <sz val="11"/>
      <color rgb="FF000000"/>
      <name val="Calibri"/>
      <family val="2"/>
      <scheme val="minor"/>
    </font>
    <font>
      <b/>
      <sz val="11"/>
      <color rgb="FFFFFFFF"/>
      <name val="Calibri"/>
      <family val="2"/>
      <scheme val="minor"/>
    </font>
    <font>
      <b/>
      <u/>
      <sz val="11"/>
      <color rgb="FFFF0000"/>
      <name val="Calibri"/>
      <family val="2"/>
      <scheme val="minor"/>
    </font>
    <font>
      <sz val="11"/>
      <color rgb="FFFF0000"/>
      <name val="Calibri"/>
      <family val="2"/>
      <scheme val="minor"/>
    </font>
    <font>
      <b/>
      <sz val="14"/>
      <color theme="1"/>
      <name val="Calibri"/>
      <family val="2"/>
      <scheme val="minor"/>
    </font>
    <font>
      <b/>
      <sz val="11"/>
      <color rgb="FFFF0000"/>
      <name val="Calibri"/>
      <family val="2"/>
      <scheme val="minor"/>
    </font>
  </fonts>
  <fills count="6">
    <fill>
      <patternFill patternType="none"/>
    </fill>
    <fill>
      <patternFill patternType="gray125"/>
    </fill>
    <fill>
      <patternFill patternType="solid">
        <fgColor theme="0" tint="-0.14999847407452621"/>
        <bgColor indexed="64"/>
      </patternFill>
    </fill>
    <fill>
      <patternFill patternType="solid">
        <fgColor rgb="FFFFFF00"/>
        <bgColor indexed="64"/>
      </patternFill>
    </fill>
    <fill>
      <patternFill patternType="solid">
        <fgColor theme="2"/>
        <bgColor indexed="64"/>
      </patternFill>
    </fill>
    <fill>
      <patternFill patternType="solid">
        <fgColor rgb="FF800000"/>
        <bgColor indexed="64"/>
      </patternFill>
    </fill>
  </fills>
  <borders count="30">
    <border>
      <left/>
      <right/>
      <top/>
      <bottom/>
      <diagonal/>
    </border>
    <border>
      <left style="thin">
        <color indexed="64"/>
      </left>
      <right style="thin">
        <color indexed="64"/>
      </right>
      <top style="thin">
        <color indexed="64"/>
      </top>
      <bottom style="thin">
        <color indexed="64"/>
      </bottom>
      <diagonal/>
    </border>
    <border>
      <left style="medium">
        <color indexed="64"/>
      </left>
      <right style="dotted">
        <color indexed="64"/>
      </right>
      <top style="medium">
        <color indexed="64"/>
      </top>
      <bottom style="dotted">
        <color indexed="64"/>
      </bottom>
      <diagonal/>
    </border>
    <border>
      <left style="dotted">
        <color indexed="64"/>
      </left>
      <right style="dotted">
        <color indexed="64"/>
      </right>
      <top style="medium">
        <color indexed="64"/>
      </top>
      <bottom style="dotted">
        <color indexed="64"/>
      </bottom>
      <diagonal/>
    </border>
    <border>
      <left style="dotted">
        <color indexed="64"/>
      </left>
      <right style="medium">
        <color indexed="64"/>
      </right>
      <top style="medium">
        <color indexed="64"/>
      </top>
      <bottom style="dotted">
        <color indexed="64"/>
      </bottom>
      <diagonal/>
    </border>
    <border>
      <left style="medium">
        <color indexed="64"/>
      </left>
      <right style="dotted">
        <color indexed="64"/>
      </right>
      <top style="dotted">
        <color indexed="64"/>
      </top>
      <bottom style="dotted">
        <color indexed="64"/>
      </bottom>
      <diagonal/>
    </border>
    <border>
      <left style="dotted">
        <color indexed="64"/>
      </left>
      <right style="dotted">
        <color indexed="64"/>
      </right>
      <top style="dotted">
        <color indexed="64"/>
      </top>
      <bottom style="dotted">
        <color indexed="64"/>
      </bottom>
      <diagonal/>
    </border>
    <border>
      <left style="dotted">
        <color indexed="64"/>
      </left>
      <right style="medium">
        <color indexed="64"/>
      </right>
      <top style="dotted">
        <color indexed="64"/>
      </top>
      <bottom style="dotted">
        <color indexed="64"/>
      </bottom>
      <diagonal/>
    </border>
    <border>
      <left style="medium">
        <color indexed="64"/>
      </left>
      <right style="dotted">
        <color indexed="64"/>
      </right>
      <top style="dotted">
        <color indexed="64"/>
      </top>
      <bottom style="medium">
        <color indexed="64"/>
      </bottom>
      <diagonal/>
    </border>
    <border>
      <left style="dotted">
        <color indexed="64"/>
      </left>
      <right style="dotted">
        <color indexed="64"/>
      </right>
      <top style="dotted">
        <color indexed="64"/>
      </top>
      <bottom style="medium">
        <color indexed="64"/>
      </bottom>
      <diagonal/>
    </border>
    <border>
      <left style="dotted">
        <color indexed="64"/>
      </left>
      <right style="medium">
        <color indexed="64"/>
      </right>
      <top style="dotted">
        <color indexed="64"/>
      </top>
      <bottom style="medium">
        <color indexed="64"/>
      </bottom>
      <diagonal/>
    </border>
    <border>
      <left style="medium">
        <color indexed="64"/>
      </left>
      <right style="dotted">
        <color indexed="64"/>
      </right>
      <top/>
      <bottom style="dotted">
        <color indexed="64"/>
      </bottom>
      <diagonal/>
    </border>
    <border>
      <left style="dotted">
        <color indexed="64"/>
      </left>
      <right style="dotted">
        <color indexed="64"/>
      </right>
      <top/>
      <bottom style="dotted">
        <color indexed="64"/>
      </bottom>
      <diagonal/>
    </border>
    <border>
      <left style="dotted">
        <color indexed="64"/>
      </left>
      <right style="medium">
        <color indexed="64"/>
      </right>
      <top/>
      <bottom style="dotted">
        <color indexed="64"/>
      </bottom>
      <diagonal/>
    </border>
    <border>
      <left style="medium">
        <color indexed="64"/>
      </left>
      <right style="dotted">
        <color indexed="64"/>
      </right>
      <top style="medium">
        <color indexed="64"/>
      </top>
      <bottom style="medium">
        <color indexed="64"/>
      </bottom>
      <diagonal/>
    </border>
    <border>
      <left style="dotted">
        <color indexed="64"/>
      </left>
      <right style="dotted">
        <color indexed="64"/>
      </right>
      <top style="medium">
        <color indexed="64"/>
      </top>
      <bottom style="medium">
        <color indexed="64"/>
      </bottom>
      <diagonal/>
    </border>
    <border>
      <left style="dotted">
        <color indexed="64"/>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dotted">
        <color indexed="64"/>
      </left>
      <right style="dotted">
        <color indexed="64"/>
      </right>
      <top style="dotted">
        <color indexed="64"/>
      </top>
      <bottom/>
      <diagonal/>
    </border>
    <border>
      <left style="medium">
        <color indexed="64"/>
      </left>
      <right style="dotted">
        <color indexed="64"/>
      </right>
      <top style="dotted">
        <color indexed="64"/>
      </top>
      <bottom/>
      <diagonal/>
    </border>
  </borders>
  <cellStyleXfs count="8">
    <xf numFmtId="0" fontId="0" fillId="0" borderId="0"/>
    <xf numFmtId="0" fontId="2" fillId="0" borderId="0"/>
    <xf numFmtId="9" fontId="4" fillId="0" borderId="0" applyFont="0" applyFill="0" applyBorder="0" applyAlignment="0" applyProtection="0"/>
    <xf numFmtId="0" fontId="4" fillId="0" borderId="0"/>
    <xf numFmtId="0" fontId="6" fillId="0" borderId="0">
      <protection locked="0"/>
    </xf>
    <xf numFmtId="0" fontId="6" fillId="0" borderId="0">
      <protection locked="0"/>
    </xf>
    <xf numFmtId="0" fontId="2" fillId="0" borderId="0">
      <protection locked="0"/>
    </xf>
    <xf numFmtId="0" fontId="2" fillId="0" borderId="0">
      <protection locked="0"/>
    </xf>
  </cellStyleXfs>
  <cellXfs count="65">
    <xf numFmtId="0" fontId="0" fillId="0" borderId="0" xfId="0"/>
    <xf numFmtId="0" fontId="0" fillId="0" borderId="0" xfId="0" applyAlignment="1">
      <alignment horizontal="center" vertical="center"/>
    </xf>
    <xf numFmtId="0" fontId="1" fillId="0" borderId="0" xfId="0" applyFont="1" applyAlignment="1">
      <alignment horizontal="center" vertical="center"/>
    </xf>
    <xf numFmtId="0" fontId="0" fillId="0" borderId="0" xfId="0" applyAlignment="1">
      <alignment vertical="top"/>
    </xf>
    <xf numFmtId="0" fontId="0" fillId="0" borderId="5" xfId="0" applyBorder="1" applyAlignment="1">
      <alignment horizontal="center" vertical="center"/>
    </xf>
    <xf numFmtId="0" fontId="0" fillId="0" borderId="6" xfId="0" applyBorder="1" applyAlignment="1">
      <alignment horizontal="center" vertical="center"/>
    </xf>
    <xf numFmtId="0" fontId="1" fillId="2" borderId="3" xfId="0" applyFont="1" applyFill="1" applyBorder="1" applyAlignment="1">
      <alignment horizontal="center" vertical="center"/>
    </xf>
    <xf numFmtId="0" fontId="0" fillId="0" borderId="6" xfId="0" applyBorder="1" applyAlignment="1">
      <alignment horizontal="left" vertical="center"/>
    </xf>
    <xf numFmtId="164" fontId="0" fillId="0" borderId="0" xfId="0" applyNumberFormat="1"/>
    <xf numFmtId="164" fontId="0" fillId="0" borderId="7" xfId="0" applyNumberFormat="1" applyBorder="1" applyAlignment="1">
      <alignment horizontal="center" vertical="center"/>
    </xf>
    <xf numFmtId="3" fontId="0" fillId="0" borderId="6" xfId="0" applyNumberFormat="1" applyBorder="1" applyAlignment="1">
      <alignment horizontal="center" vertical="center"/>
    </xf>
    <xf numFmtId="164" fontId="1" fillId="0" borderId="10" xfId="0" applyNumberFormat="1" applyFont="1" applyBorder="1" applyAlignment="1">
      <alignment horizontal="center" vertical="center"/>
    </xf>
    <xf numFmtId="0" fontId="1" fillId="0" borderId="8" xfId="0" applyFont="1" applyBorder="1" applyAlignment="1">
      <alignment horizontal="center" vertical="center"/>
    </xf>
    <xf numFmtId="0" fontId="1" fillId="0" borderId="9" xfId="0" applyFont="1" applyBorder="1" applyAlignment="1">
      <alignment horizontal="center" vertical="center"/>
    </xf>
    <xf numFmtId="3" fontId="1" fillId="0" borderId="9" xfId="0" applyNumberFormat="1" applyFont="1" applyBorder="1" applyAlignment="1">
      <alignment horizontal="center" vertical="center"/>
    </xf>
    <xf numFmtId="164" fontId="1" fillId="0" borderId="9" xfId="0" applyNumberFormat="1" applyFont="1" applyBorder="1" applyAlignment="1">
      <alignment horizontal="center" vertical="center"/>
    </xf>
    <xf numFmtId="0" fontId="1" fillId="2" borderId="2" xfId="0" applyFont="1" applyFill="1" applyBorder="1" applyAlignment="1">
      <alignment horizontal="center" vertical="center"/>
    </xf>
    <xf numFmtId="3" fontId="1" fillId="2" borderId="3" xfId="0" applyNumberFormat="1" applyFont="1" applyFill="1" applyBorder="1" applyAlignment="1">
      <alignment horizontal="center" vertical="center"/>
    </xf>
    <xf numFmtId="164" fontId="1" fillId="2" borderId="3" xfId="0" applyNumberFormat="1" applyFont="1" applyFill="1" applyBorder="1" applyAlignment="1">
      <alignment horizontal="center" vertical="center"/>
    </xf>
    <xf numFmtId="164" fontId="1" fillId="2" borderId="4" xfId="0" applyNumberFormat="1" applyFont="1" applyFill="1" applyBorder="1" applyAlignment="1">
      <alignment horizontal="center" vertical="center"/>
    </xf>
    <xf numFmtId="0" fontId="0" fillId="0" borderId="11" xfId="0" applyBorder="1" applyAlignment="1">
      <alignment horizontal="center" vertical="center"/>
    </xf>
    <xf numFmtId="0" fontId="0" fillId="0" borderId="12" xfId="0" applyBorder="1" applyAlignment="1">
      <alignment horizontal="left" vertical="center"/>
    </xf>
    <xf numFmtId="164" fontId="0" fillId="0" borderId="12" xfId="0" applyNumberFormat="1" applyBorder="1" applyAlignment="1">
      <alignment horizontal="center" vertical="center"/>
    </xf>
    <xf numFmtId="164" fontId="0" fillId="0" borderId="13" xfId="0" applyNumberFormat="1" applyBorder="1" applyAlignment="1">
      <alignment horizontal="center" vertical="center"/>
    </xf>
    <xf numFmtId="0" fontId="0" fillId="0" borderId="17" xfId="0" applyBorder="1" applyAlignment="1">
      <alignment horizontal="center" vertical="center"/>
    </xf>
    <xf numFmtId="164" fontId="0" fillId="0" borderId="18" xfId="0" applyNumberFormat="1" applyBorder="1" applyAlignment="1">
      <alignment horizontal="center" vertical="center"/>
    </xf>
    <xf numFmtId="164" fontId="1" fillId="0" borderId="19" xfId="0" applyNumberFormat="1" applyFont="1" applyBorder="1" applyAlignment="1">
      <alignment horizontal="center" vertical="center"/>
    </xf>
    <xf numFmtId="0" fontId="3" fillId="2" borderId="14" xfId="0" applyFont="1" applyFill="1" applyBorder="1" applyAlignment="1">
      <alignment horizontal="center" vertical="center"/>
    </xf>
    <xf numFmtId="0" fontId="3" fillId="2" borderId="15" xfId="0" applyFont="1" applyFill="1" applyBorder="1" applyAlignment="1">
      <alignment horizontal="center" vertical="center"/>
    </xf>
    <xf numFmtId="164" fontId="3" fillId="2" borderId="15" xfId="0" applyNumberFormat="1" applyFont="1" applyFill="1" applyBorder="1" applyAlignment="1">
      <alignment horizontal="center" vertical="center" wrapText="1"/>
    </xf>
    <xf numFmtId="164" fontId="3" fillId="2" borderId="16" xfId="0" applyNumberFormat="1" applyFont="1" applyFill="1" applyBorder="1" applyAlignment="1">
      <alignment horizontal="center" vertical="center"/>
    </xf>
    <xf numFmtId="9" fontId="0" fillId="3" borderId="6" xfId="2" applyFont="1" applyFill="1" applyBorder="1" applyAlignment="1" applyProtection="1">
      <alignment horizontal="center" vertical="center"/>
      <protection locked="0"/>
    </xf>
    <xf numFmtId="164" fontId="0" fillId="3" borderId="6" xfId="0" applyNumberFormat="1" applyFill="1" applyBorder="1" applyAlignment="1" applyProtection="1">
      <alignment horizontal="center" vertical="center"/>
      <protection locked="0"/>
    </xf>
    <xf numFmtId="0" fontId="0" fillId="0" borderId="6" xfId="0" applyBorder="1" applyAlignment="1">
      <alignment horizontal="center" vertical="center" wrapText="1"/>
    </xf>
    <xf numFmtId="1" fontId="1" fillId="4" borderId="2" xfId="0" applyNumberFormat="1" applyFont="1" applyFill="1" applyBorder="1" applyAlignment="1">
      <alignment horizontal="center" vertical="top"/>
    </xf>
    <xf numFmtId="0" fontId="1" fillId="4" borderId="3" xfId="0" applyFont="1" applyFill="1" applyBorder="1" applyAlignment="1">
      <alignment horizontal="center" vertical="top"/>
    </xf>
    <xf numFmtId="0" fontId="1" fillId="4" borderId="4" xfId="0" applyFont="1" applyFill="1" applyBorder="1" applyAlignment="1">
      <alignment horizontal="center" vertical="top"/>
    </xf>
    <xf numFmtId="1" fontId="0" fillId="0" borderId="5" xfId="0" applyNumberFormat="1" applyBorder="1" applyAlignment="1">
      <alignment horizontal="center" vertical="top"/>
    </xf>
    <xf numFmtId="0" fontId="0" fillId="0" borderId="6" xfId="0" applyBorder="1" applyAlignment="1">
      <alignment horizontal="center" vertical="top" wrapText="1"/>
    </xf>
    <xf numFmtId="0" fontId="0" fillId="0" borderId="7" xfId="0" applyBorder="1" applyAlignment="1">
      <alignment vertical="top" wrapText="1"/>
    </xf>
    <xf numFmtId="1" fontId="0" fillId="0" borderId="0" xfId="0" applyNumberFormat="1" applyAlignment="1">
      <alignment horizontal="center" vertical="top"/>
    </xf>
    <xf numFmtId="0" fontId="0" fillId="0" borderId="6" xfId="0" applyBorder="1" applyAlignment="1">
      <alignment horizontal="left" vertical="center" wrapText="1"/>
    </xf>
    <xf numFmtId="0" fontId="0" fillId="0" borderId="1" xfId="0" applyBorder="1"/>
    <xf numFmtId="0" fontId="8" fillId="0" borderId="1" xfId="0" applyFont="1" applyBorder="1" applyAlignment="1">
      <alignment vertical="center"/>
    </xf>
    <xf numFmtId="0" fontId="9" fillId="5" borderId="20" xfId="0" applyFont="1" applyFill="1" applyBorder="1" applyAlignment="1">
      <alignment horizontal="center" vertical="center"/>
    </xf>
    <xf numFmtId="0" fontId="9" fillId="5" borderId="21" xfId="0" applyFont="1" applyFill="1" applyBorder="1" applyAlignment="1">
      <alignment horizontal="center" vertical="center"/>
    </xf>
    <xf numFmtId="0" fontId="9" fillId="5" borderId="22" xfId="0" applyFont="1" applyFill="1" applyBorder="1" applyAlignment="1">
      <alignment horizontal="center" vertical="center"/>
    </xf>
    <xf numFmtId="0" fontId="7" fillId="0" borderId="23" xfId="0" applyFont="1" applyBorder="1" applyAlignment="1">
      <alignment horizontal="center" vertical="center"/>
    </xf>
    <xf numFmtId="0" fontId="0" fillId="0" borderId="24" xfId="0" applyBorder="1"/>
    <xf numFmtId="0" fontId="7" fillId="0" borderId="25" xfId="0" applyFont="1" applyBorder="1" applyAlignment="1">
      <alignment horizontal="center" vertical="center"/>
    </xf>
    <xf numFmtId="0" fontId="8" fillId="0" borderId="26" xfId="0" applyFont="1" applyBorder="1" applyAlignment="1">
      <alignment vertical="center"/>
    </xf>
    <xf numFmtId="0" fontId="0" fillId="0" borderId="26" xfId="0" applyBorder="1"/>
    <xf numFmtId="0" fontId="0" fillId="0" borderId="27" xfId="0" applyBorder="1"/>
    <xf numFmtId="1" fontId="0" fillId="0" borderId="5" xfId="0" applyNumberFormat="1" applyBorder="1" applyAlignment="1">
      <alignment horizontal="center" vertical="center"/>
    </xf>
    <xf numFmtId="0" fontId="0" fillId="0" borderId="7" xfId="0" applyBorder="1" applyAlignment="1">
      <alignment vertical="center" wrapText="1"/>
    </xf>
    <xf numFmtId="0" fontId="1" fillId="0" borderId="7" xfId="0" applyFont="1" applyBorder="1" applyAlignment="1">
      <alignment vertical="center" wrapText="1"/>
    </xf>
    <xf numFmtId="0" fontId="0" fillId="0" borderId="29" xfId="0" applyBorder="1" applyAlignment="1">
      <alignment horizontal="center" vertical="center"/>
    </xf>
    <xf numFmtId="0" fontId="0" fillId="0" borderId="0" xfId="0" applyAlignment="1">
      <alignment wrapText="1"/>
    </xf>
    <xf numFmtId="0" fontId="0" fillId="0" borderId="28" xfId="0" applyBorder="1" applyAlignment="1">
      <alignment horizontal="center" vertical="center"/>
    </xf>
    <xf numFmtId="3" fontId="0" fillId="0" borderId="28" xfId="0" applyNumberFormat="1" applyBorder="1" applyAlignment="1">
      <alignment horizontal="center" vertical="center"/>
    </xf>
    <xf numFmtId="164" fontId="0" fillId="3" borderId="28" xfId="0" applyNumberFormat="1" applyFill="1" applyBorder="1" applyAlignment="1" applyProtection="1">
      <alignment horizontal="center" vertical="center"/>
      <protection locked="0"/>
    </xf>
    <xf numFmtId="0" fontId="1" fillId="0" borderId="0" xfId="0" applyFont="1"/>
    <xf numFmtId="9" fontId="0" fillId="3" borderId="0" xfId="2" applyFont="1" applyFill="1" applyBorder="1" applyAlignment="1" applyProtection="1">
      <alignment horizontal="center" vertical="center"/>
      <protection locked="0"/>
    </xf>
    <xf numFmtId="0" fontId="12" fillId="3" borderId="0" xfId="0" applyFont="1" applyFill="1" applyAlignment="1">
      <alignment wrapText="1"/>
    </xf>
    <xf numFmtId="0" fontId="0" fillId="0" borderId="1" xfId="0" applyBorder="1" applyAlignment="1">
      <alignment horizontal="left" vertical="top" wrapText="1"/>
    </xf>
  </cellXfs>
  <cellStyles count="8">
    <cellStyle name="Normal" xfId="0" builtinId="0"/>
    <cellStyle name="Normal 11" xfId="1" xr:uid="{00000000-0005-0000-0000-000001000000}"/>
    <cellStyle name="Normal 15" xfId="3" xr:uid="{00000000-0005-0000-0000-000002000000}"/>
    <cellStyle name="Normal 2 2" xfId="4" xr:uid="{DC739EF8-E0E3-4E45-81B7-3F2E0E43879F}"/>
    <cellStyle name="Normal 2 2 2" xfId="6" xr:uid="{B8DA123F-9977-4F87-A327-5A0EC1F5A3A0}"/>
    <cellStyle name="Normal 3 3" xfId="5" xr:uid="{B92E7CAB-E4C7-40EE-8CED-754FE7EFAA00}"/>
    <cellStyle name="Normal 3 3 2" xfId="7" xr:uid="{E79313C1-5F29-49D0-9F2F-780927B279D4}"/>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4</xdr:col>
      <xdr:colOff>525780</xdr:colOff>
      <xdr:row>2</xdr:row>
      <xdr:rowOff>7620</xdr:rowOff>
    </xdr:from>
    <xdr:to>
      <xdr:col>13</xdr:col>
      <xdr:colOff>571500</xdr:colOff>
      <xdr:row>7</xdr:row>
      <xdr:rowOff>0</xdr:rowOff>
    </xdr:to>
    <xdr:sp macro="" textlink="">
      <xdr:nvSpPr>
        <xdr:cNvPr id="2" name="TextBox 1">
          <a:extLst>
            <a:ext uri="{FF2B5EF4-FFF2-40B4-BE49-F238E27FC236}">
              <a16:creationId xmlns:a16="http://schemas.microsoft.com/office/drawing/2014/main" id="{00000000-0008-0000-0200-000002000000}"/>
            </a:ext>
          </a:extLst>
        </xdr:cNvPr>
        <xdr:cNvSpPr txBox="1"/>
      </xdr:nvSpPr>
      <xdr:spPr>
        <a:xfrm>
          <a:off x="8061960" y="754380"/>
          <a:ext cx="5532120" cy="2613660"/>
        </a:xfrm>
        <a:prstGeom prst="leftArrowCallou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solidFill>
                <a:srgbClr val="FF0000"/>
              </a:solidFill>
            </a:rPr>
            <a:t>This page has to be printed on Company</a:t>
          </a:r>
          <a:r>
            <a:rPr lang="en-IN" sz="2400" b="1" baseline="0">
              <a:solidFill>
                <a:srgbClr val="FF0000"/>
              </a:solidFill>
            </a:rPr>
            <a:t> letter head (PDF) &amp; to be submitted in email as offer with backup Annexure-I Excel</a:t>
          </a:r>
          <a:endParaRPr lang="en-IN" sz="2400" b="1">
            <a:solidFill>
              <a:srgbClr val="FF0000"/>
            </a:solidFill>
          </a:endParaRPr>
        </a:p>
      </xdr:txBody>
    </xdr:sp>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0"/>
  <sheetViews>
    <sheetView showGridLines="0" tabSelected="1" zoomScale="90" zoomScaleNormal="90" zoomScaleSheetLayoutView="90" workbookViewId="0"/>
  </sheetViews>
  <sheetFormatPr defaultRowHeight="14.5" x14ac:dyDescent="0.35"/>
  <cols>
    <col min="1" max="1" width="5.453125" style="40" bestFit="1" customWidth="1"/>
    <col min="2" max="2" width="33.36328125" style="3" customWidth="1"/>
    <col min="3" max="3" width="128.1796875" style="3" customWidth="1"/>
    <col min="4" max="16384" width="8.7265625" style="3"/>
  </cols>
  <sheetData>
    <row r="1" spans="1:3" ht="22.25" customHeight="1" x14ac:dyDescent="0.35">
      <c r="A1" s="34" t="s">
        <v>0</v>
      </c>
      <c r="B1" s="35" t="s">
        <v>12</v>
      </c>
      <c r="C1" s="36" t="s">
        <v>13</v>
      </c>
    </row>
    <row r="2" spans="1:3" ht="40.5" customHeight="1" x14ac:dyDescent="0.35">
      <c r="A2" s="37">
        <v>1</v>
      </c>
      <c r="B2" s="38" t="s">
        <v>14</v>
      </c>
      <c r="C2" s="39" t="s">
        <v>55</v>
      </c>
    </row>
    <row r="3" spans="1:3" ht="40.5" customHeight="1" x14ac:dyDescent="0.35">
      <c r="A3" s="37">
        <v>2</v>
      </c>
      <c r="B3" s="38" t="s">
        <v>16</v>
      </c>
      <c r="C3" s="39" t="s">
        <v>17</v>
      </c>
    </row>
    <row r="4" spans="1:3" ht="40.5" customHeight="1" x14ac:dyDescent="0.35">
      <c r="A4" s="53">
        <v>3</v>
      </c>
      <c r="B4" s="33" t="s">
        <v>15</v>
      </c>
      <c r="C4" s="54" t="s">
        <v>31</v>
      </c>
    </row>
    <row r="5" spans="1:3" ht="40.5" customHeight="1" x14ac:dyDescent="0.35">
      <c r="A5" s="53">
        <v>4</v>
      </c>
      <c r="B5" s="33"/>
      <c r="C5" s="54" t="s">
        <v>36</v>
      </c>
    </row>
    <row r="6" spans="1:3" ht="40.5" customHeight="1" x14ac:dyDescent="0.35">
      <c r="A6" s="53">
        <v>5</v>
      </c>
      <c r="B6" s="33"/>
      <c r="C6" s="54" t="s">
        <v>32</v>
      </c>
    </row>
    <row r="7" spans="1:3" ht="40.5" customHeight="1" x14ac:dyDescent="0.35">
      <c r="A7" s="53">
        <v>6</v>
      </c>
      <c r="B7" s="33"/>
      <c r="C7" s="54" t="s">
        <v>33</v>
      </c>
    </row>
    <row r="8" spans="1:3" ht="29" x14ac:dyDescent="0.35">
      <c r="A8" s="53">
        <v>7</v>
      </c>
      <c r="B8" s="33" t="s">
        <v>34</v>
      </c>
      <c r="C8" s="54" t="s">
        <v>58</v>
      </c>
    </row>
    <row r="9" spans="1:3" ht="203" x14ac:dyDescent="0.35">
      <c r="A9" s="53">
        <v>8</v>
      </c>
      <c r="B9" s="33"/>
      <c r="C9" s="54" t="s">
        <v>54</v>
      </c>
    </row>
    <row r="10" spans="1:3" x14ac:dyDescent="0.35">
      <c r="A10" s="53">
        <v>9</v>
      </c>
      <c r="B10" s="33"/>
      <c r="C10" s="55" t="s">
        <v>37</v>
      </c>
    </row>
  </sheetData>
  <pageMargins left="0.7" right="0.7" top="0.75" bottom="0.75" header="0.3" footer="0.3"/>
  <pageSetup scale="55" orientation="landscape"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7"/>
  <sheetViews>
    <sheetView showGridLines="0" zoomScale="90" zoomScaleNormal="90" zoomScaleSheetLayoutView="90" workbookViewId="0">
      <selection activeCell="E24" sqref="E24"/>
    </sheetView>
  </sheetViews>
  <sheetFormatPr defaultRowHeight="14.5" x14ac:dyDescent="0.35"/>
  <cols>
    <col min="1" max="1" width="5.54296875" bestFit="1" customWidth="1"/>
    <col min="2" max="2" width="56.54296875" bestFit="1" customWidth="1"/>
    <col min="3" max="4" width="23.90625" customWidth="1"/>
  </cols>
  <sheetData>
    <row r="1" spans="1:4" s="2" customFormat="1" ht="29.4" customHeight="1" thickBot="1" x14ac:dyDescent="0.4">
      <c r="A1" s="27" t="s">
        <v>0</v>
      </c>
      <c r="B1" s="28" t="s">
        <v>1</v>
      </c>
      <c r="C1" s="29" t="s">
        <v>10</v>
      </c>
      <c r="D1" s="30" t="s">
        <v>4</v>
      </c>
    </row>
    <row r="2" spans="1:4" ht="29.4" customHeight="1" x14ac:dyDescent="0.35">
      <c r="A2" s="20">
        <v>1</v>
      </c>
      <c r="B2" s="21" t="s">
        <v>7</v>
      </c>
      <c r="C2" s="22"/>
      <c r="D2" s="23">
        <f>'Price Matrix- Pune CNG'!H8</f>
        <v>0</v>
      </c>
    </row>
    <row r="3" spans="1:4" ht="29.4" customHeight="1" x14ac:dyDescent="0.35">
      <c r="A3" s="4">
        <v>2</v>
      </c>
      <c r="B3" s="7" t="s">
        <v>8</v>
      </c>
      <c r="C3" s="31"/>
      <c r="D3" s="9">
        <f>D2+(C3*D2)</f>
        <v>0</v>
      </c>
    </row>
    <row r="4" spans="1:4" ht="29.4" customHeight="1" x14ac:dyDescent="0.35">
      <c r="A4" s="4">
        <v>3</v>
      </c>
      <c r="B4" s="7" t="s">
        <v>9</v>
      </c>
      <c r="C4" s="31"/>
      <c r="D4" s="9">
        <f>D3+(C4*D3)</f>
        <v>0</v>
      </c>
    </row>
    <row r="5" spans="1:4" ht="29.4" customHeight="1" x14ac:dyDescent="0.35">
      <c r="A5" s="4">
        <v>4</v>
      </c>
      <c r="B5" s="7" t="s">
        <v>38</v>
      </c>
      <c r="C5" s="31"/>
      <c r="D5" s="9">
        <f>D4+(C5*D4)</f>
        <v>0</v>
      </c>
    </row>
    <row r="6" spans="1:4" ht="29.4" customHeight="1" x14ac:dyDescent="0.35">
      <c r="A6" s="4">
        <v>5</v>
      </c>
      <c r="B6" s="7" t="s">
        <v>49</v>
      </c>
      <c r="C6" s="62"/>
      <c r="D6" s="9">
        <f>D5+(C6*D5)</f>
        <v>0</v>
      </c>
    </row>
    <row r="7" spans="1:4" ht="29.4" customHeight="1" thickBot="1" x14ac:dyDescent="0.4">
      <c r="A7" s="24"/>
      <c r="B7" s="13" t="s">
        <v>11</v>
      </c>
      <c r="C7" s="25"/>
      <c r="D7" s="26">
        <f>SUM(D2:D6)</f>
        <v>0</v>
      </c>
    </row>
  </sheetData>
  <pageMargins left="0.7" right="0.7" top="0.75" bottom="0.75" header="0.3" footer="0.3"/>
  <pageSetup scale="82" orientation="landscape" horizontalDpi="1200" verticalDpi="1200" r:id="rId1"/>
  <colBreaks count="1" manualBreakCount="1">
    <brk id="4" max="1048575" man="1"/>
  </col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16"/>
  <sheetViews>
    <sheetView showGridLines="0" topLeftCell="A4" zoomScale="90" zoomScaleNormal="90" zoomScaleSheetLayoutView="90" workbookViewId="0">
      <selection activeCell="C2" sqref="C2"/>
    </sheetView>
  </sheetViews>
  <sheetFormatPr defaultRowHeight="14.5" x14ac:dyDescent="0.35"/>
  <cols>
    <col min="1" max="1" width="5.453125" style="1" bestFit="1" customWidth="1"/>
    <col min="2" max="2" width="64.81640625" customWidth="1"/>
    <col min="3" max="3" width="20.26953125" bestFit="1" customWidth="1"/>
    <col min="4" max="4" width="10" bestFit="1" customWidth="1"/>
    <col min="5" max="6" width="14.90625" customWidth="1"/>
    <col min="7" max="8" width="24.453125" style="8" customWidth="1"/>
  </cols>
  <sheetData>
    <row r="1" spans="1:8" s="2" customFormat="1" ht="29.4" customHeight="1" x14ac:dyDescent="0.35">
      <c r="A1" s="16" t="s">
        <v>0</v>
      </c>
      <c r="B1" s="6" t="s">
        <v>1</v>
      </c>
      <c r="C1" s="6" t="s">
        <v>6</v>
      </c>
      <c r="D1" s="6" t="s">
        <v>2</v>
      </c>
      <c r="E1" s="17" t="s">
        <v>39</v>
      </c>
      <c r="F1" s="17" t="s">
        <v>47</v>
      </c>
      <c r="G1" s="18" t="s">
        <v>3</v>
      </c>
      <c r="H1" s="19" t="s">
        <v>4</v>
      </c>
    </row>
    <row r="2" spans="1:8" ht="29.4" customHeight="1" x14ac:dyDescent="0.35">
      <c r="A2" s="4">
        <v>1</v>
      </c>
      <c r="B2" s="41" t="s">
        <v>57</v>
      </c>
      <c r="C2" s="5" t="s">
        <v>35</v>
      </c>
      <c r="D2" s="5" t="s">
        <v>48</v>
      </c>
      <c r="E2" s="10">
        <v>7</v>
      </c>
      <c r="F2" s="10">
        <v>12</v>
      </c>
      <c r="G2" s="32"/>
      <c r="H2" s="9">
        <f>G2*E2*F2</f>
        <v>0</v>
      </c>
    </row>
    <row r="3" spans="1:8" ht="29.4" customHeight="1" x14ac:dyDescent="0.35">
      <c r="A3" s="4">
        <v>2</v>
      </c>
      <c r="B3" s="41" t="s">
        <v>56</v>
      </c>
      <c r="C3" s="5" t="s">
        <v>35</v>
      </c>
      <c r="D3" s="5" t="s">
        <v>48</v>
      </c>
      <c r="E3" s="10">
        <v>2</v>
      </c>
      <c r="F3" s="10">
        <v>12</v>
      </c>
      <c r="G3" s="32"/>
      <c r="H3" s="9">
        <f>G3*E3*F3</f>
        <v>0</v>
      </c>
    </row>
    <row r="4" spans="1:8" ht="29.4" customHeight="1" x14ac:dyDescent="0.35">
      <c r="A4" s="4">
        <v>3</v>
      </c>
      <c r="B4" s="7" t="s">
        <v>29</v>
      </c>
      <c r="C4" s="5" t="s">
        <v>30</v>
      </c>
      <c r="D4" s="5"/>
      <c r="E4" s="10">
        <v>1</v>
      </c>
      <c r="F4" s="10">
        <v>1</v>
      </c>
      <c r="G4" s="32"/>
      <c r="H4" s="9">
        <f>G4*E4</f>
        <v>0</v>
      </c>
    </row>
    <row r="5" spans="1:8" ht="29.4" customHeight="1" x14ac:dyDescent="0.35">
      <c r="A5" s="4">
        <v>4</v>
      </c>
      <c r="B5" t="s">
        <v>43</v>
      </c>
      <c r="C5" s="5" t="s">
        <v>30</v>
      </c>
      <c r="D5" s="5" t="s">
        <v>27</v>
      </c>
      <c r="E5" s="10">
        <v>1</v>
      </c>
      <c r="F5" s="10">
        <v>1</v>
      </c>
      <c r="G5" s="32"/>
      <c r="H5" s="9">
        <f>G5*E5</f>
        <v>0</v>
      </c>
    </row>
    <row r="6" spans="1:8" ht="29.4" customHeight="1" x14ac:dyDescent="0.35">
      <c r="A6" s="56">
        <v>5</v>
      </c>
      <c r="B6" t="s">
        <v>44</v>
      </c>
      <c r="C6" s="5" t="s">
        <v>30</v>
      </c>
      <c r="D6" s="58" t="s">
        <v>27</v>
      </c>
      <c r="E6" s="59">
        <v>1</v>
      </c>
      <c r="F6" s="10">
        <v>1</v>
      </c>
      <c r="G6" s="60"/>
      <c r="H6" s="9">
        <f>G6*E6</f>
        <v>0</v>
      </c>
    </row>
    <row r="7" spans="1:8" ht="29.4" customHeight="1" x14ac:dyDescent="0.35">
      <c r="A7" s="56">
        <v>6</v>
      </c>
      <c r="B7" t="s">
        <v>45</v>
      </c>
      <c r="C7" s="5" t="s">
        <v>30</v>
      </c>
      <c r="D7" s="58" t="s">
        <v>42</v>
      </c>
      <c r="E7" s="59">
        <v>1</v>
      </c>
      <c r="F7" s="10">
        <v>1</v>
      </c>
      <c r="G7" s="60"/>
      <c r="H7" s="9">
        <f>G7*E7</f>
        <v>0</v>
      </c>
    </row>
    <row r="8" spans="1:8" s="2" customFormat="1" ht="29.4" customHeight="1" thickBot="1" x14ac:dyDescent="0.4">
      <c r="A8" s="12"/>
      <c r="B8" s="13" t="s">
        <v>5</v>
      </c>
      <c r="C8" s="13"/>
      <c r="D8" s="13"/>
      <c r="E8" s="14"/>
      <c r="F8" s="14"/>
      <c r="G8" s="15">
        <f>G2</f>
        <v>0</v>
      </c>
      <c r="H8" s="11">
        <f>SUM(H2:H3)</f>
        <v>0</v>
      </c>
    </row>
    <row r="10" spans="1:8" x14ac:dyDescent="0.35">
      <c r="B10" s="61" t="s">
        <v>40</v>
      </c>
    </row>
    <row r="11" spans="1:8" ht="29" x14ac:dyDescent="0.35">
      <c r="B11" s="57" t="s">
        <v>41</v>
      </c>
    </row>
    <row r="12" spans="1:8" ht="37" x14ac:dyDescent="0.45">
      <c r="B12" s="63" t="s">
        <v>53</v>
      </c>
    </row>
    <row r="13" spans="1:8" ht="29" x14ac:dyDescent="0.35">
      <c r="B13" s="57" t="s">
        <v>46</v>
      </c>
    </row>
    <row r="14" spans="1:8" x14ac:dyDescent="0.35">
      <c r="B14" s="57" t="s">
        <v>52</v>
      </c>
    </row>
    <row r="15" spans="1:8" x14ac:dyDescent="0.35">
      <c r="B15" t="s">
        <v>50</v>
      </c>
    </row>
    <row r="16" spans="1:8" x14ac:dyDescent="0.35">
      <c r="B16" t="s">
        <v>51</v>
      </c>
    </row>
  </sheetData>
  <pageMargins left="0.7" right="0.7" top="0.75" bottom="0.75" header="0.3" footer="0.3"/>
  <pageSetup paperSize="9" scale="48"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2FE0D9-4C9B-4DF0-8279-CE08E8D2C3EF}">
  <dimension ref="D4:G13"/>
  <sheetViews>
    <sheetView showGridLines="0" workbookViewId="0">
      <selection activeCell="J13" sqref="J13"/>
    </sheetView>
  </sheetViews>
  <sheetFormatPr defaultRowHeight="14.5" x14ac:dyDescent="0.35"/>
  <cols>
    <col min="5" max="5" width="11.1796875" customWidth="1"/>
    <col min="6" max="6" width="12.26953125" customWidth="1"/>
    <col min="7" max="7" width="13.453125" customWidth="1"/>
  </cols>
  <sheetData>
    <row r="4" spans="4:7" ht="15" thickBot="1" x14ac:dyDescent="0.4"/>
    <row r="5" spans="4:7" x14ac:dyDescent="0.35">
      <c r="D5" s="44" t="s">
        <v>18</v>
      </c>
      <c r="E5" s="45" t="s">
        <v>24</v>
      </c>
      <c r="F5" s="45" t="s">
        <v>25</v>
      </c>
      <c r="G5" s="46" t="s">
        <v>26</v>
      </c>
    </row>
    <row r="6" spans="4:7" x14ac:dyDescent="0.35">
      <c r="D6" s="47" t="s">
        <v>19</v>
      </c>
      <c r="E6" s="43">
        <v>1895</v>
      </c>
      <c r="F6" s="42">
        <v>1382</v>
      </c>
      <c r="G6" s="48">
        <v>0</v>
      </c>
    </row>
    <row r="7" spans="4:7" x14ac:dyDescent="0.35">
      <c r="D7" s="47" t="s">
        <v>20</v>
      </c>
      <c r="E7" s="43">
        <v>7370</v>
      </c>
      <c r="F7" s="42">
        <v>5628</v>
      </c>
      <c r="G7" s="48">
        <v>895</v>
      </c>
    </row>
    <row r="8" spans="4:7" x14ac:dyDescent="0.35">
      <c r="D8" s="47" t="s">
        <v>21</v>
      </c>
      <c r="E8" s="43">
        <v>16289</v>
      </c>
      <c r="F8" s="42">
        <v>9700</v>
      </c>
      <c r="G8" s="48">
        <v>0</v>
      </c>
    </row>
    <row r="9" spans="4:7" x14ac:dyDescent="0.35">
      <c r="D9" s="47" t="s">
        <v>22</v>
      </c>
      <c r="E9" s="43">
        <v>18540</v>
      </c>
      <c r="F9" s="42">
        <v>11990</v>
      </c>
      <c r="G9" s="48">
        <v>0</v>
      </c>
    </row>
    <row r="10" spans="4:7" ht="15" thickBot="1" x14ac:dyDescent="0.4">
      <c r="D10" s="49" t="s">
        <v>23</v>
      </c>
      <c r="E10" s="50">
        <v>412</v>
      </c>
      <c r="F10" s="51">
        <v>1423</v>
      </c>
      <c r="G10" s="52">
        <v>0</v>
      </c>
    </row>
    <row r="12" spans="4:7" x14ac:dyDescent="0.35">
      <c r="D12" s="64" t="s">
        <v>28</v>
      </c>
      <c r="E12" s="64"/>
      <c r="F12" s="64"/>
      <c r="G12" s="64"/>
    </row>
    <row r="13" spans="4:7" ht="34.5" customHeight="1" x14ac:dyDescent="0.35">
      <c r="D13" s="64"/>
      <c r="E13" s="64"/>
      <c r="F13" s="64"/>
      <c r="G13" s="64"/>
    </row>
  </sheetData>
  <mergeCells count="1">
    <mergeCell ref="D12:G13"/>
  </mergeCells>
  <pageMargins left="0.7" right="0.7" top="0.75" bottom="0.75" header="0.3" footer="0.3"/>
  <pageSetup orientation="portrait" r:id="rId1"/>
</worksheet>
</file>

<file path=docMetadata/LabelInfo.xml><?xml version="1.0" encoding="utf-8"?>
<clbl:labelList xmlns:clbl="http://schemas.microsoft.com/office/2020/mipLabelMetadata">
  <clbl:label id="{a6b84135-ab90-4b03-a415-784f8f15a7f1}" enabled="1" method="Privileged" siteId="{2882be50-2012-4d88-ac86-544124e120c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Basics of RFQ</vt:lpstr>
      <vt:lpstr>Project Cost</vt:lpstr>
      <vt:lpstr>Price Matrix- Pune CNG</vt:lpstr>
      <vt:lpstr>Proposed trips &amp; vehicel models</vt:lpstr>
      <vt:lpstr>'Project Cost'!Print_Area</vt:lpstr>
    </vt:vector>
  </TitlesOfParts>
  <Company>VOLKSWAGEN GROUP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Bagal, Sangram (VW India)</dc:creator>
  <cp:lastModifiedBy>Koram, Nilesh (Digital Solutions IN I-FB)</cp:lastModifiedBy>
  <cp:lastPrinted>2024-08-06T11:49:04Z</cp:lastPrinted>
  <dcterms:created xsi:type="dcterms:W3CDTF">2018-03-28T05:38:38Z</dcterms:created>
  <dcterms:modified xsi:type="dcterms:W3CDTF">2026-09-10T12:14:56Z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6b84135-ab90-4b03-a415-784f8f15a7f1_Enabled">
    <vt:lpwstr>true</vt:lpwstr>
  </property>
  <property fmtid="{D5CDD505-2E9C-101B-9397-08002B2CF9AE}" pid="3" name="MSIP_Label_a6b84135-ab90-4b03-a415-784f8f15a7f1_SetDate">
    <vt:lpwstr>2023-08-21T08:59:37Z</vt:lpwstr>
  </property>
  <property fmtid="{D5CDD505-2E9C-101B-9397-08002B2CF9AE}" pid="4" name="MSIP_Label_a6b84135-ab90-4b03-a415-784f8f15a7f1_Method">
    <vt:lpwstr>Privileged</vt:lpwstr>
  </property>
  <property fmtid="{D5CDD505-2E9C-101B-9397-08002B2CF9AE}" pid="5" name="MSIP_Label_a6b84135-ab90-4b03-a415-784f8f15a7f1_Name">
    <vt:lpwstr>a6b84135-ab90-4b03-a415-784f8f15a7f1</vt:lpwstr>
  </property>
  <property fmtid="{D5CDD505-2E9C-101B-9397-08002B2CF9AE}" pid="6" name="MSIP_Label_a6b84135-ab90-4b03-a415-784f8f15a7f1_SiteId">
    <vt:lpwstr>2882be50-2012-4d88-ac86-544124e120c8</vt:lpwstr>
  </property>
  <property fmtid="{D5CDD505-2E9C-101B-9397-08002B2CF9AE}" pid="7" name="MSIP_Label_a6b84135-ab90-4b03-a415-784f8f15a7f1_ActionId">
    <vt:lpwstr>b634f3a3-21f7-4b5a-b702-d407f7b231c0</vt:lpwstr>
  </property>
  <property fmtid="{D5CDD505-2E9C-101B-9397-08002B2CF9AE}" pid="8" name="MSIP_Label_a6b84135-ab90-4b03-a415-784f8f15a7f1_ContentBits">
    <vt:lpwstr>0</vt:lpwstr>
  </property>
</Properties>
</file>