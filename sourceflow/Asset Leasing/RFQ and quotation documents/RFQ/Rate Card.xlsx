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D349YF\Downloads\Asset Leasing\RFQ and quotation documents\RFQ\"/>
    </mc:Choice>
  </mc:AlternateContent>
  <xr:revisionPtr revIDLastSave="0" documentId="13_ncr:1_{05D617A8-1ECD-4A0A-BAC5-D977EF753A90}" xr6:coauthVersionLast="47" xr6:coauthVersionMax="47" xr10:uidLastSave="{00000000-0000-0000-0000-000000000000}"/>
  <bookViews>
    <workbookView xWindow="-108" yWindow="-108" windowWidth="23256" windowHeight="12456" tabRatio="932" xr2:uid="{00000000-000D-0000-FFFF-FFFF00000000}"/>
  </bookViews>
  <sheets>
    <sheet name="Proposal Summery" sheetId="24" r:id="rId1"/>
    <sheet name="FMV Lease - Pune SEZ" sheetId="27" r:id="rId2"/>
    <sheet name="FMV Lease - Pune Non SEZ" sheetId="31" r:id="rId3"/>
    <sheet name="FMV Lease - GGN" sheetId="30" r:id="rId4"/>
    <sheet name="FMV Lease - BLR" sheetId="3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4" l="1"/>
  <c r="G6" i="24" s="1"/>
  <c r="D7" i="24"/>
  <c r="D6" i="24"/>
  <c r="D5" i="24"/>
  <c r="D4" i="24"/>
  <c r="B6" i="32"/>
  <c r="B8" i="32" s="1"/>
  <c r="B11" i="32" s="1"/>
  <c r="B12" i="32" s="1"/>
  <c r="F7" i="24" s="1"/>
  <c r="G7" i="24" s="1"/>
  <c r="B6" i="31"/>
  <c r="B8" i="31" s="1"/>
  <c r="B11" i="31" s="1"/>
  <c r="B12" i="31" s="1"/>
  <c r="F5" i="24" s="1"/>
  <c r="G5" i="24" s="1"/>
  <c r="B6" i="30"/>
  <c r="B8" i="30" s="1"/>
  <c r="B11" i="30" s="1"/>
  <c r="B12" i="30" s="1"/>
  <c r="B6" i="27"/>
  <c r="B8" i="27" s="1"/>
  <c r="B11" i="27" s="1"/>
  <c r="B12" i="27" s="1"/>
  <c r="C8" i="24"/>
  <c r="F4" i="24" l="1"/>
  <c r="G4" i="24" s="1"/>
  <c r="G8" i="24" s="1"/>
</calcChain>
</file>

<file path=xl/sharedStrings.xml><?xml version="1.0" encoding="utf-8"?>
<sst xmlns="http://schemas.openxmlformats.org/spreadsheetml/2006/main" count="64" uniqueCount="23">
  <si>
    <t>3yrs</t>
  </si>
  <si>
    <t>IRR</t>
  </si>
  <si>
    <t>Fair Market Value Lease</t>
  </si>
  <si>
    <t>Quantity</t>
  </si>
  <si>
    <t>Total Base Price</t>
  </si>
  <si>
    <t>PTPQ</t>
  </si>
  <si>
    <t>Quarterly Lease Rent Per Unit (In Advance)</t>
  </si>
  <si>
    <t>Quarterly lease rent for all units payable in Advance</t>
  </si>
  <si>
    <t>No. of payments/Quarters</t>
  </si>
  <si>
    <t>Proposal Summery</t>
  </si>
  <si>
    <t>No of Quarters</t>
  </si>
  <si>
    <t>Count of Laptop</t>
  </si>
  <si>
    <t>Total leasing amount for 12 Quarters</t>
  </si>
  <si>
    <t>Total</t>
  </si>
  <si>
    <t>Service Location</t>
  </si>
  <si>
    <t>ThinkPad Essential Wireless Mouse - 4X30M56887</t>
  </si>
  <si>
    <t>Lenovo 15.6’’ Value Plus Backpack - 4X40Y71789</t>
  </si>
  <si>
    <t>Base Price of Accessories Excluding GST</t>
  </si>
  <si>
    <t>VW Group Digital Solutions Congo Pune (SEZ) - Lenovo TP T14 AMD G5 with Accessories</t>
  </si>
  <si>
    <t>VW Group Digital Solutions Ganges (Non SEZ) - Lenovo TP T14 AMD G5 with Accessories</t>
  </si>
  <si>
    <t>VW Group Digital Solutions Gurgaon - Lenovo TP T14 AMD G5 with Accessories</t>
  </si>
  <si>
    <t>VW Group Digital Solutions Bangalore - Lenovo TP T14 AMD G5 with Accessories</t>
  </si>
  <si>
    <t>Business NB Performance T14 G5, R7P-8840U (3.3GHz,16MB), 14" WUXGA 1920x1200NT, 5MP RGB+IR Cam,SCR,1x32GB, 1x1TB SSD M.2 PCIe G4,AMD Radeon™ 740M,BT5.1 NFA725A (2x2AX),Wired Eth,4cell 52.5Wh, 65W,3yr Premier NBD,TiCRU, KYD,ISE,SBTY,W11P64,Backlit KB:ENG - 21MDS2HM0M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</si>
</sst>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s.&quot;\ #,##0;[Red]&quot;Rs.&quot;\ \-#,##0"/>
    <numFmt numFmtId="165" formatCode="[$INR]\ #,##0.00"/>
    <numFmt numFmtId="166" formatCode="[$INR]\ #,##0"/>
  </numFmts>
  <fonts count="7">
    <font>
      <sz val="11"/>
      <color theme="1"/>
      <name val="Calibri"/>
      <family val="2"/>
      <scheme val="minor"/>
    </font>
    <font>
      <sz val="12"/>
      <color indexed="8"/>
      <name val="Arial MT"/>
    </font>
    <font>
      <sz val="12"/>
      <color theme="1"/>
      <name val="The Group TEXT"/>
    </font>
    <font>
      <b/>
      <sz val="12"/>
      <color theme="1"/>
      <name val="The Group TEXT"/>
    </font>
    <font>
      <b/>
      <sz val="10"/>
      <color theme="1"/>
      <name val="The Group TEXT"/>
    </font>
    <font>
      <sz val="10"/>
      <color theme="1"/>
      <name val="The Group TEXT"/>
    </font>
    <font>
      <sz val="10"/>
      <color rgb="FF00B050"/>
      <name val="The Group TEXT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5" fillId="0" borderId="0" xfId="0" applyFont="1" applyAlignment="1" applyProtection="1">
      <alignment horizontal="left" vertical="top"/>
      <protection locked="0"/>
    </xf>
    <xf numFmtId="0" fontId="4" fillId="0" borderId="9" xfId="0" applyFont="1" applyBorder="1" applyAlignment="1" applyProtection="1">
      <alignment horizontal="left" vertical="top"/>
      <protection locked="0"/>
    </xf>
    <xf numFmtId="0" fontId="4" fillId="0" borderId="10" xfId="0" applyFont="1" applyBorder="1" applyAlignment="1" applyProtection="1">
      <alignment horizontal="left" vertical="top"/>
      <protection locked="0"/>
    </xf>
    <xf numFmtId="0" fontId="5" fillId="0" borderId="3" xfId="0" applyFont="1" applyBorder="1" applyAlignment="1" applyProtection="1">
      <alignment horizontal="left" vertical="top" wrapText="1"/>
      <protection locked="0"/>
    </xf>
    <xf numFmtId="164" fontId="5" fillId="0" borderId="4" xfId="0" applyNumberFormat="1" applyFont="1" applyBorder="1" applyAlignment="1" applyProtection="1">
      <alignment horizontal="left" vertical="top"/>
      <protection locked="0"/>
    </xf>
    <xf numFmtId="0" fontId="5" fillId="0" borderId="23" xfId="0" applyFont="1" applyBorder="1" applyAlignment="1" applyProtection="1">
      <alignment horizontal="left" vertical="top" wrapText="1"/>
      <protection locked="0"/>
    </xf>
    <xf numFmtId="164" fontId="5" fillId="0" borderId="24" xfId="0" applyNumberFormat="1" applyFont="1" applyBorder="1" applyAlignment="1" applyProtection="1">
      <alignment horizontal="left" vertical="top"/>
      <protection locked="0"/>
    </xf>
    <xf numFmtId="0" fontId="5" fillId="0" borderId="5" xfId="0" applyFont="1" applyBorder="1" applyAlignment="1" applyProtection="1">
      <alignment horizontal="left" vertical="top" wrapText="1"/>
      <protection locked="0"/>
    </xf>
    <xf numFmtId="164" fontId="5" fillId="0" borderId="6" xfId="0" applyNumberFormat="1" applyFont="1" applyBorder="1" applyAlignment="1" applyProtection="1">
      <alignment horizontal="left" vertical="top"/>
      <protection locked="0"/>
    </xf>
    <xf numFmtId="1" fontId="5" fillId="0" borderId="6" xfId="0" applyNumberFormat="1" applyFont="1" applyBorder="1" applyAlignment="1" applyProtection="1">
      <alignment horizontal="left" vertical="top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5" fillId="0" borderId="6" xfId="0" applyFont="1" applyBorder="1" applyAlignment="1" applyProtection="1">
      <alignment horizontal="left" vertical="top"/>
      <protection locked="0"/>
    </xf>
    <xf numFmtId="2" fontId="6" fillId="0" borderId="6" xfId="0" applyNumberFormat="1" applyFont="1" applyBorder="1" applyAlignment="1" applyProtection="1">
      <alignment horizontal="left" vertical="top"/>
      <protection locked="0"/>
    </xf>
    <xf numFmtId="0" fontId="5" fillId="0" borderId="11" xfId="0" applyFont="1" applyBorder="1" applyAlignment="1" applyProtection="1">
      <alignment horizontal="left" vertical="top" wrapText="1"/>
      <protection locked="0"/>
    </xf>
    <xf numFmtId="164" fontId="5" fillId="0" borderId="12" xfId="0" applyNumberFormat="1" applyFont="1" applyBorder="1" applyAlignment="1" applyProtection="1">
      <alignment horizontal="left" vertical="top"/>
      <protection locked="0"/>
    </xf>
    <xf numFmtId="0" fontId="4" fillId="0" borderId="7" xfId="0" applyFont="1" applyBorder="1" applyAlignment="1" applyProtection="1">
      <alignment horizontal="left" vertical="top"/>
      <protection locked="0"/>
    </xf>
    <xf numFmtId="10" fontId="4" fillId="0" borderId="8" xfId="0" applyNumberFormat="1" applyFont="1" applyBorder="1" applyAlignment="1" applyProtection="1">
      <alignment horizontal="left" vertical="top"/>
      <protection locked="0"/>
    </xf>
    <xf numFmtId="4" fontId="5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14" xfId="0" applyFont="1" applyFill="1" applyBorder="1" applyAlignment="1" applyProtection="1">
      <alignment horizontal="left" vertical="top" wrapText="1"/>
      <protection locked="0"/>
    </xf>
    <xf numFmtId="0" fontId="3" fillId="2" borderId="21" xfId="0" applyFont="1" applyFill="1" applyBorder="1" applyAlignment="1" applyProtection="1">
      <alignment horizontal="left" vertical="top" wrapText="1"/>
      <protection locked="0"/>
    </xf>
    <xf numFmtId="0" fontId="3" fillId="2" borderId="22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 applyProtection="1">
      <alignment horizontal="left" vertical="top" wrapText="1"/>
      <protection locked="0"/>
    </xf>
    <xf numFmtId="1" fontId="2" fillId="0" borderId="16" xfId="0" applyNumberFormat="1" applyFont="1" applyBorder="1" applyAlignment="1" applyProtection="1">
      <alignment horizontal="left" vertical="top" wrapText="1"/>
      <protection locked="0"/>
    </xf>
    <xf numFmtId="0" fontId="2" fillId="0" borderId="16" xfId="0" applyFont="1" applyBorder="1" applyAlignment="1" applyProtection="1">
      <alignment horizontal="left" vertical="top" wrapText="1"/>
      <protection locked="0"/>
    </xf>
    <xf numFmtId="0" fontId="2" fillId="0" borderId="18" xfId="0" applyFont="1" applyBorder="1" applyAlignment="1" applyProtection="1">
      <alignment horizontal="left" vertical="top" wrapText="1"/>
      <protection locked="0"/>
    </xf>
    <xf numFmtId="1" fontId="2" fillId="0" borderId="19" xfId="0" applyNumberFormat="1" applyFont="1" applyBorder="1" applyAlignment="1" applyProtection="1">
      <alignment horizontal="left" vertical="top" wrapText="1"/>
      <protection locked="0"/>
    </xf>
    <xf numFmtId="0" fontId="2" fillId="0" borderId="19" xfId="0" applyFont="1" applyBorder="1" applyAlignment="1" applyProtection="1">
      <alignment horizontal="left" vertical="top" wrapText="1"/>
      <protection locked="0"/>
    </xf>
    <xf numFmtId="1" fontId="2" fillId="0" borderId="16" xfId="0" applyNumberFormat="1" applyFont="1" applyBorder="1" applyAlignment="1" applyProtection="1">
      <alignment horizontal="left" vertical="top"/>
      <protection locked="0"/>
    </xf>
    <xf numFmtId="0" fontId="2" fillId="0" borderId="14" xfId="0" applyFont="1" applyBorder="1" applyAlignment="1" applyProtection="1">
      <alignment horizontal="left" vertical="top" wrapText="1"/>
      <protection locked="0"/>
    </xf>
    <xf numFmtId="1" fontId="2" fillId="0" borderId="21" xfId="0" applyNumberFormat="1" applyFont="1" applyBorder="1" applyAlignment="1" applyProtection="1">
      <alignment horizontal="left" vertical="top" wrapText="1"/>
      <protection locked="0"/>
    </xf>
    <xf numFmtId="0" fontId="2" fillId="0" borderId="21" xfId="0" applyFont="1" applyBorder="1" applyAlignment="1" applyProtection="1">
      <alignment horizontal="left" vertical="top" wrapText="1"/>
      <protection locked="0"/>
    </xf>
    <xf numFmtId="165" fontId="3" fillId="2" borderId="22" xfId="0" applyNumberFormat="1" applyFont="1" applyFill="1" applyBorder="1" applyAlignment="1" applyProtection="1">
      <alignment horizontal="left" vertical="top" wrapText="1"/>
      <protection locked="0"/>
    </xf>
    <xf numFmtId="166" fontId="2" fillId="0" borderId="20" xfId="0" applyNumberFormat="1" applyFont="1" applyBorder="1" applyAlignment="1" applyProtection="1">
      <alignment horizontal="left" vertical="top"/>
      <protection locked="0"/>
    </xf>
    <xf numFmtId="166" fontId="2" fillId="0" borderId="17" xfId="0" applyNumberFormat="1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</cellXfs>
  <cellStyles count="2">
    <cellStyle name="0,0_x000d__x000a_NA_x000d__x000a_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570F-8B53-41A8-87D9-CE2E1BBD6019}">
  <sheetPr>
    <tabColor rgb="FF002060"/>
  </sheetPr>
  <dimension ref="B1:G8"/>
  <sheetViews>
    <sheetView showGridLines="0" tabSelected="1" zoomScaleNormal="100" workbookViewId="0"/>
  </sheetViews>
  <sheetFormatPr defaultRowHeight="15.6"/>
  <cols>
    <col min="1" max="1" width="4.6640625" style="19" customWidth="1"/>
    <col min="2" max="2" width="44.21875" style="19" bestFit="1" customWidth="1"/>
    <col min="3" max="3" width="15.21875" style="19" customWidth="1"/>
    <col min="4" max="4" width="14.33203125" style="19" customWidth="1"/>
    <col min="5" max="5" width="15.5546875" style="19" customWidth="1"/>
    <col min="6" max="7" width="22.21875" style="19" customWidth="1"/>
    <col min="8" max="16384" width="8.88671875" style="19"/>
  </cols>
  <sheetData>
    <row r="1" spans="2:7" ht="16.2" thickBot="1"/>
    <row r="2" spans="2:7" s="20" customFormat="1" ht="16.2" thickBot="1">
      <c r="B2" s="38" t="s">
        <v>9</v>
      </c>
      <c r="C2" s="39"/>
      <c r="D2" s="39"/>
      <c r="E2" s="39"/>
      <c r="F2" s="39"/>
      <c r="G2" s="40"/>
    </row>
    <row r="3" spans="2:7" s="24" customFormat="1" ht="63.6" customHeight="1" thickBot="1">
      <c r="B3" s="21" t="s">
        <v>14</v>
      </c>
      <c r="C3" s="22" t="s">
        <v>11</v>
      </c>
      <c r="D3" s="22" t="s">
        <v>5</v>
      </c>
      <c r="E3" s="22" t="s">
        <v>10</v>
      </c>
      <c r="F3" s="22" t="s">
        <v>7</v>
      </c>
      <c r="G3" s="23" t="s">
        <v>12</v>
      </c>
    </row>
    <row r="4" spans="2:7" ht="31.2" customHeight="1">
      <c r="B4" s="25" t="s">
        <v>18</v>
      </c>
      <c r="C4" s="26">
        <v>110</v>
      </c>
      <c r="D4" s="26">
        <f>'FMV Lease - Pune SEZ'!B10</f>
        <v>0</v>
      </c>
      <c r="E4" s="27">
        <v>12</v>
      </c>
      <c r="F4" s="36">
        <f>'FMV Lease - Pune SEZ'!B12</f>
        <v>0</v>
      </c>
      <c r="G4" s="37">
        <f>F4*E4</f>
        <v>0</v>
      </c>
    </row>
    <row r="5" spans="2:7" ht="31.2" customHeight="1">
      <c r="B5" s="28" t="s">
        <v>19</v>
      </c>
      <c r="C5" s="26">
        <v>110</v>
      </c>
      <c r="D5" s="29">
        <f>'FMV Lease - Pune Non SEZ'!B10</f>
        <v>0</v>
      </c>
      <c r="E5" s="30">
        <v>12</v>
      </c>
      <c r="F5" s="36">
        <f>'FMV Lease - Pune Non SEZ'!B12</f>
        <v>0</v>
      </c>
      <c r="G5" s="36">
        <f>F5*E5</f>
        <v>0</v>
      </c>
    </row>
    <row r="6" spans="2:7" ht="31.2" customHeight="1">
      <c r="B6" s="25" t="s">
        <v>20</v>
      </c>
      <c r="C6" s="26">
        <v>110</v>
      </c>
      <c r="D6" s="26">
        <f>'FMV Lease - GGN'!B10</f>
        <v>0</v>
      </c>
      <c r="E6" s="27">
        <v>12</v>
      </c>
      <c r="F6" s="36">
        <f>'FMV Lease - GGN'!B12</f>
        <v>0</v>
      </c>
      <c r="G6" s="37">
        <f t="shared" ref="G6:G7" si="0">F6*E6</f>
        <v>0</v>
      </c>
    </row>
    <row r="7" spans="2:7" ht="31.2" customHeight="1" thickBot="1">
      <c r="B7" s="25" t="s">
        <v>21</v>
      </c>
      <c r="C7" s="26">
        <v>110</v>
      </c>
      <c r="D7" s="31">
        <f>'FMV Lease - BLR'!B10</f>
        <v>0</v>
      </c>
      <c r="E7" s="27">
        <v>12</v>
      </c>
      <c r="F7" s="36">
        <f>'FMV Lease - BLR'!B12</f>
        <v>0</v>
      </c>
      <c r="G7" s="37">
        <f t="shared" si="0"/>
        <v>0</v>
      </c>
    </row>
    <row r="8" spans="2:7" ht="21.6" customHeight="1" thickBot="1">
      <c r="B8" s="32" t="s">
        <v>13</v>
      </c>
      <c r="C8" s="33">
        <f>SUM(C4:C7)</f>
        <v>440</v>
      </c>
      <c r="D8" s="33"/>
      <c r="E8" s="34"/>
      <c r="F8" s="34"/>
      <c r="G8" s="35">
        <f>SUM(G4:G7)</f>
        <v>0</v>
      </c>
    </row>
  </sheetData>
  <mergeCells count="1">
    <mergeCell ref="B2:G2"/>
  </mergeCells>
  <pageMargins left="0.7" right="0.7" top="0.75" bottom="0.75" header="0.3" footer="0.3"/>
  <ignoredErrors>
    <ignoredError sqref="C8:G8 E7 E6 G7 G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023D-5656-41E0-A790-A8E003F14F78}">
  <dimension ref="A1:D13"/>
  <sheetViews>
    <sheetView showGridLines="0" zoomScaleNormal="100" workbookViewId="0">
      <selection activeCell="B3" sqref="B3:B5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1" t="s">
        <v>2</v>
      </c>
      <c r="B1" s="42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437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/>
    </row>
    <row r="11" spans="1:4">
      <c r="A11" s="8" t="s">
        <v>6</v>
      </c>
      <c r="B11" s="9">
        <f>B10*B8/1000</f>
        <v>0</v>
      </c>
    </row>
    <row r="12" spans="1:4">
      <c r="A12" s="14" t="s">
        <v>7</v>
      </c>
      <c r="B12" s="15">
        <f>B11*B7</f>
        <v>0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50E6-3EED-486E-843B-7F493C2B16E8}">
  <dimension ref="A1:D13"/>
  <sheetViews>
    <sheetView showGridLines="0" zoomScaleNormal="100" workbookViewId="0">
      <selection activeCell="B3" sqref="B3:B5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1" t="s">
        <v>2</v>
      </c>
      <c r="B1" s="42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866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/>
    </row>
    <row r="11" spans="1:4">
      <c r="A11" s="8" t="s">
        <v>6</v>
      </c>
      <c r="B11" s="9">
        <f>B10*B8/1000</f>
        <v>0</v>
      </c>
    </row>
    <row r="12" spans="1:4">
      <c r="A12" s="14" t="s">
        <v>7</v>
      </c>
      <c r="B12" s="15">
        <f>B11*B7</f>
        <v>0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7C4F-7F0A-4C65-A7B2-69931069E479}">
  <dimension ref="A1:D13"/>
  <sheetViews>
    <sheetView showGridLines="0" zoomScaleNormal="100" workbookViewId="0">
      <selection activeCell="B3" sqref="B3:B5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1" t="s">
        <v>2</v>
      </c>
      <c r="B1" s="42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360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/>
    </row>
    <row r="11" spans="1:4">
      <c r="A11" s="8" t="s">
        <v>6</v>
      </c>
      <c r="B11" s="9">
        <f>B10*B8/1000</f>
        <v>0</v>
      </c>
    </row>
    <row r="12" spans="1:4">
      <c r="A12" s="14" t="s">
        <v>7</v>
      </c>
      <c r="B12" s="15">
        <f>B11*B7</f>
        <v>0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A247-8193-41F9-A726-D668639A0016}">
  <dimension ref="A1:D13"/>
  <sheetViews>
    <sheetView showGridLines="0" zoomScaleNormal="100" workbookViewId="0">
      <selection activeCell="B3" sqref="B3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1" t="s">
        <v>2</v>
      </c>
      <c r="B1" s="42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149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/>
    </row>
    <row r="11" spans="1:4">
      <c r="A11" s="8" t="s">
        <v>6</v>
      </c>
      <c r="B11" s="9">
        <f>B10*B8/1000</f>
        <v>0</v>
      </c>
    </row>
    <row r="12" spans="1:4">
      <c r="A12" s="14" t="s">
        <v>7</v>
      </c>
      <c r="B12" s="15">
        <f>B11*B7</f>
        <v>0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Proposal Summery</vt:lpstr>
      <vt:lpstr>FMV Lease - Pune SEZ</vt:lpstr>
      <vt:lpstr>FMV Lease - Pune Non SEZ</vt:lpstr>
      <vt:lpstr>FMV Lease - GGN</vt:lpstr>
      <vt:lpstr>FMV Lease - BLR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Malvey</dc:creator>
  <cp:lastModifiedBy>Suryawanshi, Vikas (Digital Solutions IN I-FB)</cp:lastModifiedBy>
  <dcterms:created xsi:type="dcterms:W3CDTF">2014-06-16T09:49:41Z</dcterms:created>
  <dcterms:modified xsi:type="dcterms:W3CDTF">2026-09-10T12:19:59Z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2023-12-08T09:01:24Z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2557f15d-87c0-4ab2-ac05-50e6ddeca5d7</vt:lpwstr>
  </property>
  <property fmtid="{D5CDD505-2E9C-101B-9397-08002B2CF9AE}" pid="8" name="MSIP_Label_b1c9b508-7c6e-42bd-bedf-808292653d6c_ContentBits">
    <vt:lpwstr>3</vt:lpwstr>
  </property>
</Properties>
</file>