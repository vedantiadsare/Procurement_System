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volkswagengroup-my.sharepoint.com/personal/praveen_chakravarthy_vwgds_in/Documents/i.Mobilothon 6.0/Hackathon participants Guides/RFQ Intake and Quote Analysis System/"/>
    </mc:Choice>
  </mc:AlternateContent>
  <xr:revisionPtr revIDLastSave="1" documentId="11_DCF3FAB5286880F88CA90643591B18901737DF04" xr6:coauthVersionLast="47" xr6:coauthVersionMax="47" xr10:uidLastSave="{465C6DF5-39D2-40B4-BC8D-0FE98A75056C}"/>
  <bookViews>
    <workbookView xWindow="-103" yWindow="-103" windowWidth="22149" windowHeight="11829" tabRatio="500" firstSheet="4" activeTab="7" xr2:uid="{00000000-000D-0000-FFFF-FFFF00000000}"/>
  </bookViews>
  <sheets>
    <sheet name="README" sheetId="1" r:id="rId1"/>
    <sheet name="Suppliers" sheetId="2" r:id="rId2"/>
    <sheet name="Sourcing_Cases" sheetId="3" r:id="rId3"/>
    <sheet name="Documents" sheetId="4" r:id="rId4"/>
    <sheet name="Quotes" sheetId="5" r:id="rId5"/>
    <sheet name="Quote_LineItems" sheetId="6" r:id="rId6"/>
    <sheet name="Compliance_Requirements" sheetId="7" r:id="rId7"/>
    <sheet name="SLA_Events" sheetId="8" r:id="rId8"/>
    <sheet name="Answer_Key" sheetId="9" state="hidden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7" i="8" l="1"/>
  <c r="G17" i="8"/>
  <c r="H16" i="8"/>
  <c r="G16" i="8"/>
  <c r="H15" i="8"/>
  <c r="G15" i="8"/>
  <c r="H14" i="8"/>
  <c r="G14" i="8"/>
  <c r="H13" i="8"/>
  <c r="G13" i="8"/>
  <c r="H12" i="8"/>
  <c r="G12" i="8"/>
  <c r="H11" i="8"/>
  <c r="G11" i="8"/>
  <c r="H10" i="8"/>
  <c r="G10" i="8"/>
  <c r="H9" i="8"/>
  <c r="G9" i="8"/>
  <c r="H8" i="8"/>
  <c r="G8" i="8"/>
  <c r="H7" i="8"/>
  <c r="G7" i="8"/>
  <c r="H6" i="8"/>
  <c r="G6" i="8"/>
  <c r="H5" i="8"/>
  <c r="G5" i="8"/>
  <c r="H4" i="8"/>
  <c r="G4" i="8"/>
  <c r="H3" i="8"/>
  <c r="G3" i="8"/>
  <c r="H2" i="8"/>
  <c r="G2" i="8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</calcChain>
</file>

<file path=xl/sharedStrings.xml><?xml version="1.0" encoding="utf-8"?>
<sst xmlns="http://schemas.openxmlformats.org/spreadsheetml/2006/main" count="683" uniqueCount="338">
  <si>
    <t>Purpose</t>
  </si>
  <si>
    <t>Messy procurement intake to parse (Documents.RawText) + structured 'system of record' a strong solution reconstructs.</t>
  </si>
  <si>
    <t>Reference 'today' (as-of date)</t>
  </si>
  <si>
    <t>2026-09-08  (use for ALL overdue / ageing math)</t>
  </si>
  <si>
    <t>Data realism</t>
  </si>
  <si>
    <t>100% synthetic. No real company, supplier, or pricing data.</t>
  </si>
  <si>
    <t>What to parse</t>
  </si>
  <si>
    <t>Documents.RawText holds the raw emails/quotes. Other sheets are the target structure.</t>
  </si>
  <si>
    <t>FX RATES TO EUR (as-of 2026-09-08, synthetic)</t>
  </si>
  <si>
    <t>EUR -&gt; EUR</t>
  </si>
  <si>
    <t>1.000</t>
  </si>
  <si>
    <t>GBP -&gt; EUR</t>
  </si>
  <si>
    <t>1.170</t>
  </si>
  <si>
    <t>USD -&gt; EUR</t>
  </si>
  <si>
    <t>0.920</t>
  </si>
  <si>
    <t>VAT handling</t>
  </si>
  <si>
    <t>If VATIncluded='Yes', strip VAT (Native/(1+VATRate)) to get net BEFORE converting to EUR.</t>
  </si>
  <si>
    <t>SHEETS</t>
  </si>
  <si>
    <t>Suppliers</t>
  </si>
  <si>
    <t>Supplier master: country, default currency, payment terms, status.</t>
  </si>
  <si>
    <t>Sourcing_Cases</t>
  </si>
  <si>
    <t>One row per sourcing request (the unit of work). PK = CaseID.</t>
  </si>
  <si>
    <t>Documents</t>
  </si>
  <si>
    <t>RFQs, quotations, SFOs, tech specs with messy RawText + ParseStatus. FK = CaseID, SupplierID.</t>
  </si>
  <si>
    <t>Quotes</t>
  </si>
  <si>
    <t>Structured quote header per response; native + computed NetTotalEUR. FK = CaseID, SupplierID, DocID.</t>
  </si>
  <si>
    <t>Quote_LineItems</t>
  </si>
  <si>
    <t>Line items belonging to each quote. FK = QuoteID.</t>
  </si>
  <si>
    <t>Compliance_Requirements</t>
  </si>
  <si>
    <t>Required document types per category (e.g. min-2 quotes).</t>
  </si>
  <si>
    <t>SLA_Events</t>
  </si>
  <si>
    <t>RFQ-sent vs response timing per supplier; Overdue computed. FK = CaseID, SupplierID.</t>
  </si>
  <si>
    <t>Answer_Key</t>
  </si>
  <si>
    <t>HIDDEN. Seeded-scenario catalog for judges. Do NOT hardcode to these IDs.</t>
  </si>
  <si>
    <t>JOIN KEYS</t>
  </si>
  <si>
    <t>Documents.CaseID / SupplierID</t>
  </si>
  <si>
    <t>-&gt; Sourcing_Cases.CaseID / Suppliers.SupplierID (one orphan doc has no CaseID)</t>
  </si>
  <si>
    <t>Quotes.DocID</t>
  </si>
  <si>
    <t>-&gt; Documents.DocID</t>
  </si>
  <si>
    <t>Quote_LineItems.QuoteID</t>
  </si>
  <si>
    <t>-&gt; Quotes.QuoteID</t>
  </si>
  <si>
    <t>SLA_Events.CaseID</t>
  </si>
  <si>
    <t>-&gt; Sourcing_Cases.CaseID</t>
  </si>
  <si>
    <t>HINT</t>
  </si>
  <si>
    <t>Amber-shaded rows contain a seeded issue/scenario. Judges may swap the data / IDs.</t>
  </si>
  <si>
    <t>NO SINGLE CORRECT SOLUTION</t>
  </si>
  <si>
    <t>The problem is fixed; the technology, architecture, and output form are entirely open.</t>
  </si>
  <si>
    <t>SupplierID</t>
  </si>
  <si>
    <t>SupplierName</t>
  </si>
  <si>
    <t>Country</t>
  </si>
  <si>
    <t>DefaultCurrency</t>
  </si>
  <si>
    <t>DefaultPaymentTerms</t>
  </si>
  <si>
    <t>ContactEmail</t>
  </si>
  <si>
    <t>Status</t>
  </si>
  <si>
    <t>SUP-201</t>
  </si>
  <si>
    <t>NordTech Components GmbH</t>
  </si>
  <si>
    <t>DE</t>
  </si>
  <si>
    <t>EUR</t>
  </si>
  <si>
    <t>Net 30</t>
  </si>
  <si>
    <t>sales@nordtech.example</t>
  </si>
  <si>
    <t>Approved</t>
  </si>
  <si>
    <t>SUP-202</t>
  </si>
  <si>
    <t>BritSupply Ltd</t>
  </si>
  <si>
    <t>GB</t>
  </si>
  <si>
    <t>GBP</t>
  </si>
  <si>
    <t>Net 45</t>
  </si>
  <si>
    <t>offers@britsupply.example</t>
  </si>
  <si>
    <t>SUP-203</t>
  </si>
  <si>
    <t>Apex Industrial Inc</t>
  </si>
  <si>
    <t>US</t>
  </si>
  <si>
    <t>USD</t>
  </si>
  <si>
    <t>Net 60</t>
  </si>
  <si>
    <t>quotes@apexind.example</t>
  </si>
  <si>
    <t>SUP-204</t>
  </si>
  <si>
    <t>Ferro Italia Srl</t>
  </si>
  <si>
    <t>IT</t>
  </si>
  <si>
    <t>vendite@ferroitalia.example</t>
  </si>
  <si>
    <t>SUP-205</t>
  </si>
  <si>
    <t>Lusitania Supplies SA</t>
  </si>
  <si>
    <t>PT</t>
  </si>
  <si>
    <t>rfq@lusisupplies.example</t>
  </si>
  <si>
    <t>Pending</t>
  </si>
  <si>
    <t>SUP-206</t>
  </si>
  <si>
    <t>Danube Parts s.r.o.</t>
  </si>
  <si>
    <t>CZ</t>
  </si>
  <si>
    <t>obchod@danubeparts.example</t>
  </si>
  <si>
    <t>SUP-207</t>
  </si>
  <si>
    <t>Meridian Global LLC</t>
  </si>
  <si>
    <t>deals@meridianglobal.example</t>
  </si>
  <si>
    <t>SUP-208</t>
  </si>
  <si>
    <t>Alpine Precision AG</t>
  </si>
  <si>
    <t>CH</t>
  </si>
  <si>
    <t>sales@alpineprecision.example</t>
  </si>
  <si>
    <t>CaseID</t>
  </si>
  <si>
    <t>RequestSummary</t>
  </si>
  <si>
    <t>Category</t>
  </si>
  <si>
    <t>BusinessRequester</t>
  </si>
  <si>
    <t>EstimatedValue</t>
  </si>
  <si>
    <t>Currency</t>
  </si>
  <si>
    <t>CreatedDate</t>
  </si>
  <si>
    <t>RFQDeadline</t>
  </si>
  <si>
    <t>CaseStatus</t>
  </si>
  <si>
    <t>SC-3001</t>
  </si>
  <si>
    <t>Industrial fasteners (M8 bolts, 10k units)</t>
  </si>
  <si>
    <t>General Purchase</t>
  </si>
  <si>
    <t>H. Weber</t>
  </si>
  <si>
    <t>2026-08-20</t>
  </si>
  <si>
    <t>2026-09-01</t>
  </si>
  <si>
    <t>Quotes_In</t>
  </si>
  <si>
    <t>SC-3002</t>
  </si>
  <si>
    <t>Rack-mount servers (8 units)</t>
  </si>
  <si>
    <t>IT Hardware</t>
  </si>
  <si>
    <t>R. Mehta</t>
  </si>
  <si>
    <t>2026-08-22</t>
  </si>
  <si>
    <t>2026-09-03</t>
  </si>
  <si>
    <t>SC-3003</t>
  </si>
  <si>
    <t>Warehouse pallet trucks (5 units)</t>
  </si>
  <si>
    <t>Logistics</t>
  </si>
  <si>
    <t>K. Svoboda</t>
  </si>
  <si>
    <t>2026-08-25</t>
  </si>
  <si>
    <t>2026-09-05</t>
  </si>
  <si>
    <t>SC-3004</t>
  </si>
  <si>
    <t>Office partition panels</t>
  </si>
  <si>
    <t>Facilities</t>
  </si>
  <si>
    <t>L. Fischer</t>
  </si>
  <si>
    <t>2026-08-26</t>
  </si>
  <si>
    <t>2026-09-06</t>
  </si>
  <si>
    <t>Awaiting_Quotes</t>
  </si>
  <si>
    <t>SC-3005</t>
  </si>
  <si>
    <t>Cleaning chemicals (bulk)</t>
  </si>
  <si>
    <t>P. Lopes</t>
  </si>
  <si>
    <t>2026-08-18</t>
  </si>
  <si>
    <t>2026-08-28</t>
  </si>
  <si>
    <t>SC-3006</t>
  </si>
  <si>
    <t>Network switches (managed, 12x)</t>
  </si>
  <si>
    <t>2026-08-24</t>
  </si>
  <si>
    <t>2026-09-04</t>
  </si>
  <si>
    <t>SC-3007</t>
  </si>
  <si>
    <t>Forklift service contract</t>
  </si>
  <si>
    <t>2026-08-27</t>
  </si>
  <si>
    <t>2026-09-07</t>
  </si>
  <si>
    <t>SC-3008</t>
  </si>
  <si>
    <t>Reception furniture set</t>
  </si>
  <si>
    <t>2026-09-08</t>
  </si>
  <si>
    <t>DocID</t>
  </si>
  <si>
    <t>DocType</t>
  </si>
  <si>
    <t>ReceivedDate</t>
  </si>
  <si>
    <t>ParseStatus</t>
  </si>
  <si>
    <t>RawText</t>
  </si>
  <si>
    <t>DOC-4001</t>
  </si>
  <si>
    <t>RFQ</t>
  </si>
  <si>
    <t>Parsed</t>
  </si>
  <si>
    <t>From: h.weber@corp.example
Subject: RFQ - M8 bolts 10,000 units
Hi team, please quote for 10,000x M8x40 zinc bolts, delivery to Wolfsburg by 20 Sep. Payment our standard terms. Rgds, Heinz</t>
  </si>
  <si>
    <t>DOC-4002</t>
  </si>
  <si>
    <t>Quotation</t>
  </si>
  <si>
    <t>NordTech Components GmbH — Quotation Q-5521
Item: M8x40 zinc bolt  Qty: 10000  Unit: EUR 0.85  Net total: EUR 8,500.00
VAT 19% included? NO (net). Payment: Net 30. Valid 30 days.</t>
  </si>
  <si>
    <t>DOC-4003</t>
  </si>
  <si>
    <t>Ferro Italia Srl  Offerta 8841
Bulloni M8x40  quantita 10000  prezzo unit. 0,88 EUR  Totale netto 8.800,00 EUR
IVA esclusa. Pagamento Net 30.</t>
  </si>
  <si>
    <t>DOC-4004</t>
  </si>
  <si>
    <t>RFQ: 8x rack-mount servers, dual-socket, 256GB RAM, 3yr warranty. Need technical spec sheet with each quote. Deadline 3 Sep.</t>
  </si>
  <si>
    <t>DOC-4005</t>
  </si>
  <si>
    <t>2026-08-30</t>
  </si>
  <si>
    <t>Apex Industrial Inc — QUOTE #A-9931
8 x Server R740xd  Unit price USD 4,950.00  Subtotal USD 39,600.00
Terms Net 60. Prices exclude VAT. FX note: bill in USD.</t>
  </si>
  <si>
    <t>DOC-4006</t>
  </si>
  <si>
    <t>2026-08-31</t>
  </si>
  <si>
    <t>NordTech Q-5540: 8x DualSocket Server, 256GB. EUR 4,300 per unit, total EUR 34,400. Net 30. VAT excl. Tech spec attached (DOC-4007).</t>
  </si>
  <si>
    <t>DOC-4007</t>
  </si>
  <si>
    <t>Technical_Spec</t>
  </si>
  <si>
    <t>Technical Specification — DualSocket Server: 2x CPU 24c, 256GB DDR5, 2x 960GB SSD, redundant PSU, 3yr NBD warranty.</t>
  </si>
  <si>
    <t>DOC-4008</t>
  </si>
  <si>
    <t>Request: 5 electric pallet trucks, 1.5t. Delivery Brno. Quote please by 5 Sep.</t>
  </si>
  <si>
    <t>DOC-4009</t>
  </si>
  <si>
    <t>BritSupply Ltd — Quotation 77-231
5 x Electric Pallet Truck 1.5t @ GBP 2,400 each = GBP 12,000.00
VAT 20% NOT included. Payment Net 45. Currency GBP.</t>
  </si>
  <si>
    <t>DOC-4010</t>
  </si>
  <si>
    <t>2026-09-02</t>
  </si>
  <si>
    <t>Danube Parts — nabidka 3320: 5x elektricky paletovy vozik 1.5t, 2 950 EUR/ks, celkem 14 750 EUR. DPH 21% NENI zahrnuto. Net 30.</t>
  </si>
  <si>
    <t>DOC-4011</t>
  </si>
  <si>
    <t>RFQ office partition panels, approx 20 panels frosted glass. Two suppliers contacted. Deadline 6 Sep.</t>
  </si>
  <si>
    <t>DOC-4012</t>
  </si>
  <si>
    <t>Lusitania Supplies — Orcamento 559: 20 x painel divisorio vidro fosco, 410 EUR/un, total 8.200 EUR. IVA 23% incluido. Net 30.</t>
  </si>
  <si>
    <t>DOC-4013</t>
  </si>
  <si>
    <t>RFQ bulk cleaning chemicals Q4 supply. Deadline 28 Aug. Awaiting responses.</t>
  </si>
  <si>
    <t>DOC-4014</t>
  </si>
  <si>
    <t>RFQ: 12x managed network switches, 48-port. Deadline 4 Sep.</t>
  </si>
  <si>
    <t>DOC-4015</t>
  </si>
  <si>
    <t>NordTech Q-5559: 12x 48-port managed switch, EUR 1,850/unit, total EUR 22,200. VAT 19% EXCLUDED. Net 30.</t>
  </si>
  <si>
    <t>DOC-4016</t>
  </si>
  <si>
    <t>BritSupply 77-240: 12 x 48p managed switch @ GBP 1,520 = GBP 18,240 incl. VAT 20%. Net 45. Currency GBP.</t>
  </si>
  <si>
    <t>DOC-4017</t>
  </si>
  <si>
    <t>Meridian Global QUOTE M-7781: 12 units 48-port switch, USD 2,010/unit, total USD 24,120. Taxes not included. Net 30. USD.</t>
  </si>
  <si>
    <t>DOC-4018</t>
  </si>
  <si>
    <t>RFQ: 12-month forklift service contract, 6 units. Deadline 7 Sep.</t>
  </si>
  <si>
    <t>DOC-4019</t>
  </si>
  <si>
    <t>Danube Parts nabidka 3345: forklift service 12 mo, 6 units, 17 400 EUR total. Net 30.</t>
  </si>
  <si>
    <t>DOC-4020</t>
  </si>
  <si>
    <t>Danube Parts nabidka 3345-R: forklift service 12 mo, 6 units, 16 900 EUR total (revised). Net 30.</t>
  </si>
  <si>
    <t>DOC-4021</t>
  </si>
  <si>
    <t>Alpine Precision offer AP-220: forklift maintenance 12m, 6 units, EUR 18,600. Net 30. VAT excl.</t>
  </si>
  <si>
    <t>DOC-4022</t>
  </si>
  <si>
    <t>Needs_Review</t>
  </si>
  <si>
    <t>From: h.weber@corp.example
Subject: Two things
Hi - please quote for the reception furniture set (about 11k budget). Also separately, can you re-send pricing for the M8 bolts order, supplier came back with new numbers. Thanks</t>
  </si>
  <si>
    <t>DOC-4023</t>
  </si>
  <si>
    <t>Ferro Italia Offerta 8890: reception furniture set, 10.800 EUR. IVA esclusa. Net 30.</t>
  </si>
  <si>
    <t>DOC-4024</t>
  </si>
  <si>
    <t>Orphan</t>
  </si>
  <si>
    <t>Apex Industrial QUOTE A-9950: 200 units safety gloves, USD 1,900. Net 60. (No matching RFQ/case reference found.)</t>
  </si>
  <si>
    <t>QuoteID</t>
  </si>
  <si>
    <t>NativeNetTotal</t>
  </si>
  <si>
    <t>VATIncluded</t>
  </si>
  <si>
    <t>VATRate</t>
  </si>
  <si>
    <t>FXRateToEUR</t>
  </si>
  <si>
    <t>NetTotalEUR</t>
  </si>
  <si>
    <t>QT-6001</t>
  </si>
  <si>
    <t>No</t>
  </si>
  <si>
    <t>QT-6002</t>
  </si>
  <si>
    <t>QT-6003</t>
  </si>
  <si>
    <t>QT-6004</t>
  </si>
  <si>
    <t>QT-6005</t>
  </si>
  <si>
    <t>QT-6006</t>
  </si>
  <si>
    <t>QT-6007</t>
  </si>
  <si>
    <t>Yes</t>
  </si>
  <si>
    <t>QT-6008</t>
  </si>
  <si>
    <t>QT-6009</t>
  </si>
  <si>
    <t>QT-6010</t>
  </si>
  <si>
    <t>QT-6011</t>
  </si>
  <si>
    <t>QT-6012</t>
  </si>
  <si>
    <t>QT-6013</t>
  </si>
  <si>
    <t>QT-6014</t>
  </si>
  <si>
    <t>QT-6015</t>
  </si>
  <si>
    <t>LineID</t>
  </si>
  <si>
    <t>Description</t>
  </si>
  <si>
    <t>Quantity</t>
  </si>
  <si>
    <t>UnitPriceNative</t>
  </si>
  <si>
    <t>LineTotalNative</t>
  </si>
  <si>
    <t>LI-7001</t>
  </si>
  <si>
    <t>M8x40 zinc bolt</t>
  </si>
  <si>
    <t>LI-7002</t>
  </si>
  <si>
    <t>Bullone M8x40</t>
  </si>
  <si>
    <t>LI-7003</t>
  </si>
  <si>
    <t>Server R740xd (dual-socket, 256GB)</t>
  </si>
  <si>
    <t>LI-7004</t>
  </si>
  <si>
    <t>DualSocket Server 256GB</t>
  </si>
  <si>
    <t>LI-7005</t>
  </si>
  <si>
    <t>Electric Pallet Truck 1.5t</t>
  </si>
  <si>
    <t>LI-7006</t>
  </si>
  <si>
    <t>Elektricky paletovy vozik 1.5t</t>
  </si>
  <si>
    <t>LI-7007</t>
  </si>
  <si>
    <t>Painel divisorio vidro fosco</t>
  </si>
  <si>
    <t>LI-7008</t>
  </si>
  <si>
    <t>48-port managed switch</t>
  </si>
  <si>
    <t>LI-7009</t>
  </si>
  <si>
    <t>LI-7010</t>
  </si>
  <si>
    <t>LI-7011</t>
  </si>
  <si>
    <t>Forklift service 12mo (6 units)</t>
  </si>
  <si>
    <t>LI-7012</t>
  </si>
  <si>
    <t>Forklift service 12mo (6 units, revised)</t>
  </si>
  <si>
    <t>LI-7013</t>
  </si>
  <si>
    <t>Forklift maintenance 12m (6 units)</t>
  </si>
  <si>
    <t>LI-7014</t>
  </si>
  <si>
    <t>LI-7015</t>
  </si>
  <si>
    <t>Safety gloves</t>
  </si>
  <si>
    <t>RequiredDocTypes</t>
  </si>
  <si>
    <t>Rule</t>
  </si>
  <si>
    <t>RFQ; Quotation; SFO</t>
  </si>
  <si>
    <t>Min 2 competing quotations required</t>
  </si>
  <si>
    <t>RFQ; Quotation; Technical_Spec; SFO</t>
  </si>
  <si>
    <t>Technical spec mandatory; min 2 quotes</t>
  </si>
  <si>
    <t>EventID</t>
  </si>
  <si>
    <t>RFQSentDate</t>
  </si>
  <si>
    <t>ResponseDueDate</t>
  </si>
  <si>
    <t>ResponseReceivedDate</t>
  </si>
  <si>
    <t>DaysToRespond</t>
  </si>
  <si>
    <t>Overdue</t>
  </si>
  <si>
    <t>EV-8001</t>
  </si>
  <si>
    <t>EV-8002</t>
  </si>
  <si>
    <t>EV-8003</t>
  </si>
  <si>
    <t>EV-8004</t>
  </si>
  <si>
    <t>EV-8005</t>
  </si>
  <si>
    <t>EV-8006</t>
  </si>
  <si>
    <t>EV-8007</t>
  </si>
  <si>
    <t>EV-8008</t>
  </si>
  <si>
    <t>EV-8009</t>
  </si>
  <si>
    <t>EV-8010</t>
  </si>
  <si>
    <t>EV-8011</t>
  </si>
  <si>
    <t>EV-8012</t>
  </si>
  <si>
    <t>EV-8013</t>
  </si>
  <si>
    <t>EV-8014</t>
  </si>
  <si>
    <t>EV-8015</t>
  </si>
  <si>
    <t>EV-8016</t>
  </si>
  <si>
    <t>As-of date</t>
  </si>
  <si>
    <t>Scenario</t>
  </si>
  <si>
    <t>Case / Doc / Quote</t>
  </si>
  <si>
    <t>Type</t>
  </si>
  <si>
    <t>Expected finding (from the DATA, not hardcoded)</t>
  </si>
  <si>
    <t>SC-A Missing quote</t>
  </si>
  <si>
    <t>SC-3004 / EV-8008</t>
  </si>
  <si>
    <t>Compliance gap</t>
  </si>
  <si>
    <t>Only one quote (QT-6007) received; min-2 rule unmet. Second supplier SUP-208 never responded.</t>
  </si>
  <si>
    <t>SC-B Overdue response</t>
  </si>
  <si>
    <t>SC-3005 / EV-8009, EV-8010</t>
  </si>
  <si>
    <t>SLA overdue</t>
  </si>
  <si>
    <t>RFQ deadline 2026-08-28 passed; no quotation documents exist. Both suppliers outstanding.</t>
  </si>
  <si>
    <t>SC-C Currency mismatch</t>
  </si>
  <si>
    <t>SC-3006 / QT-6008,6009,6010</t>
  </si>
  <si>
    <t>Normalisation</t>
  </si>
  <si>
    <t>Quotes in EUR, GBP, USD. Convert all to EUR (FX in README) to compare apples-to-apples.</t>
  </si>
  <si>
    <t>SC-D VAT mismatch</t>
  </si>
  <si>
    <t>SC-3006 / QT-6009 (and QT-6007)</t>
  </si>
  <si>
    <t>QT-6009 is GROSS (VAT incl 20%) while others are net. Strip VAT before converting. QT-6007 also VAT-incl.</t>
  </si>
  <si>
    <t>SC-E Duplicate quote</t>
  </si>
  <si>
    <t>SC-3007 / QT-6011 &amp; QT-6012</t>
  </si>
  <si>
    <t>De-duplication</t>
  </si>
  <si>
    <t>Same supplier SUP-206, same base offer no. 3345 (3345 &amp; 3345-R). Treat as one revised offer, not two.</t>
  </si>
  <si>
    <t>SC-F Ambiguous multi-case email</t>
  </si>
  <si>
    <t>Disambiguation</t>
  </si>
  <si>
    <t>One email references SC-3008 (furniture) AND SC-3001 (bolts). Must be split; ParseStatus=Needs_Review.</t>
  </si>
  <si>
    <t>SC-G Orphan document</t>
  </si>
  <si>
    <t>DOC-4024 / QT-6015</t>
  </si>
  <si>
    <t>Referential integrity</t>
  </si>
  <si>
    <t>Quotation with no CaseID (safety gloves). Belongs to no known case. Flag, do not fold into a comparison.</t>
  </si>
  <si>
    <t>Correct EUR-normalised comparison for SC-3006 (net, converted):</t>
  </si>
  <si>
    <t>NordTech QT-6008</t>
  </si>
  <si>
    <t>EUR 22,200.00 net</t>
  </si>
  <si>
    <t>22,200.00 EUR</t>
  </si>
  <si>
    <t>BritSupply QT-6009</t>
  </si>
  <si>
    <t>GBP 18,240 gross incl 20% VAT</t>
  </si>
  <si>
    <t>18,240/1.20*1.17 -&gt; 17,784.00 EUR</t>
  </si>
  <si>
    <t>Meridian QT-6010</t>
  </si>
  <si>
    <t>USD 24,120 net</t>
  </si>
  <si>
    <t>24,120*0.92 -&gt; 22,190.40 EUR</t>
  </si>
  <si>
    <t>Cheapest after normalisation:</t>
  </si>
  <si>
    <t>BritSupply (17,784 EUR)</t>
  </si>
  <si>
    <t>Beats the naive native-number ranking</t>
  </si>
  <si>
    <t>Overdue = no response received AND ResponseDueDate &lt; 2026-09-08.</t>
  </si>
  <si>
    <t>Do NOT hardcode to these IDs; a modified scoring copy may use different IDs and extra scenarios.</t>
  </si>
  <si>
    <t>Clean control cases: SC-3001, SC-3002, SC-3003 (comparable, complete) should NOT raise gaps.</t>
  </si>
  <si>
    <t>There is no single correct output; grounding + honest handling of messy data is what is verified.</t>
  </si>
  <si>
    <t xml:space="preserve">RFQ Intake and Quote Analysis System — Synthetic Dataset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</si>
</sst>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charset val="1"/>
    </font>
    <font>
      <b/>
      <sz val="13"/>
      <color rgb="FF1B2A4A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1"/>
      <color rgb="FFC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4" fontId="3" fillId="0" borderId="1" xfId="0" applyNumberFormat="1" applyFont="1" applyBorder="1" applyAlignment="1">
      <alignment vertical="top"/>
    </xf>
    <xf numFmtId="9" fontId="3" fillId="0" borderId="1" xfId="0" applyNumberFormat="1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" fontId="3" fillId="3" borderId="1" xfId="0" applyNumberFormat="1" applyFont="1" applyFill="1" applyBorder="1" applyAlignment="1">
      <alignment vertical="top"/>
    </xf>
    <xf numFmtId="9" fontId="3" fillId="3" borderId="1" xfId="0" applyNumberFormat="1" applyFont="1" applyFill="1" applyBorder="1" applyAlignment="1">
      <alignment vertical="top"/>
    </xf>
    <xf numFmtId="164" fontId="3" fillId="3" borderId="1" xfId="0" applyNumberFormat="1" applyFont="1" applyFill="1" applyBorder="1" applyAlignment="1">
      <alignment vertical="top"/>
    </xf>
    <xf numFmtId="0" fontId="5" fillId="0" borderId="0" xfId="0" applyFont="1"/>
    <xf numFmtId="0" fontId="4" fillId="2" borderId="0" xfId="0" applyFont="1" applyFill="1" applyAlignment="1">
      <alignment horizontal="center" wrapText="1"/>
    </xf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opLeftCell="A22" zoomScaleNormal="100" workbookViewId="0">
      <selection activeCell="B3" sqref="B3"/>
    </sheetView>
  </sheetViews>
  <sheetFormatPr defaultColWidth="8.69140625" defaultRowHeight="14.6" x14ac:dyDescent="0.4"/>
  <cols>
    <col min="1" max="1" width="36" customWidth="1"/>
    <col min="2" max="2" width="80" customWidth="1"/>
  </cols>
  <sheetData>
    <row r="1" spans="1:2" ht="16.3" x14ac:dyDescent="0.4">
      <c r="A1" s="1" t="s">
        <v>337</v>
      </c>
    </row>
    <row r="3" spans="1:2" ht="24.9" x14ac:dyDescent="0.4">
      <c r="A3" s="2" t="s">
        <v>0</v>
      </c>
      <c r="B3" s="3" t="s">
        <v>1</v>
      </c>
    </row>
    <row r="4" spans="1:2" x14ac:dyDescent="0.4">
      <c r="A4" s="2" t="s">
        <v>2</v>
      </c>
      <c r="B4" s="3" t="s">
        <v>3</v>
      </c>
    </row>
    <row r="5" spans="1:2" x14ac:dyDescent="0.4">
      <c r="A5" s="2" t="s">
        <v>4</v>
      </c>
      <c r="B5" s="3" t="s">
        <v>5</v>
      </c>
    </row>
    <row r="6" spans="1:2" x14ac:dyDescent="0.4">
      <c r="A6" s="2" t="s">
        <v>6</v>
      </c>
      <c r="B6" s="3" t="s">
        <v>7</v>
      </c>
    </row>
    <row r="7" spans="1:2" x14ac:dyDescent="0.4">
      <c r="A7" s="2"/>
      <c r="B7" s="3"/>
    </row>
    <row r="8" spans="1:2" ht="24.9" x14ac:dyDescent="0.4">
      <c r="A8" s="2" t="s">
        <v>8</v>
      </c>
      <c r="B8" s="3"/>
    </row>
    <row r="9" spans="1:2" x14ac:dyDescent="0.4">
      <c r="A9" s="2" t="s">
        <v>9</v>
      </c>
      <c r="B9" s="3" t="s">
        <v>10</v>
      </c>
    </row>
    <row r="10" spans="1:2" x14ac:dyDescent="0.4">
      <c r="A10" s="2" t="s">
        <v>11</v>
      </c>
      <c r="B10" s="3" t="s">
        <v>12</v>
      </c>
    </row>
    <row r="11" spans="1:2" x14ac:dyDescent="0.4">
      <c r="A11" s="2" t="s">
        <v>13</v>
      </c>
      <c r="B11" s="3" t="s">
        <v>14</v>
      </c>
    </row>
    <row r="12" spans="1:2" x14ac:dyDescent="0.4">
      <c r="A12" s="2" t="s">
        <v>15</v>
      </c>
      <c r="B12" s="3" t="s">
        <v>16</v>
      </c>
    </row>
    <row r="13" spans="1:2" x14ac:dyDescent="0.4">
      <c r="A13" s="2"/>
      <c r="B13" s="3"/>
    </row>
    <row r="14" spans="1:2" x14ac:dyDescent="0.4">
      <c r="A14" s="2" t="s">
        <v>17</v>
      </c>
      <c r="B14" s="3"/>
    </row>
    <row r="15" spans="1:2" x14ac:dyDescent="0.4">
      <c r="A15" s="2" t="s">
        <v>18</v>
      </c>
      <c r="B15" s="3" t="s">
        <v>19</v>
      </c>
    </row>
    <row r="16" spans="1:2" x14ac:dyDescent="0.4">
      <c r="A16" s="2" t="s">
        <v>20</v>
      </c>
      <c r="B16" s="3" t="s">
        <v>21</v>
      </c>
    </row>
    <row r="17" spans="1:2" x14ac:dyDescent="0.4">
      <c r="A17" s="2" t="s">
        <v>22</v>
      </c>
      <c r="B17" s="3" t="s">
        <v>23</v>
      </c>
    </row>
    <row r="18" spans="1:2" ht="24.9" x14ac:dyDescent="0.4">
      <c r="A18" s="2" t="s">
        <v>24</v>
      </c>
      <c r="B18" s="3" t="s">
        <v>25</v>
      </c>
    </row>
    <row r="19" spans="1:2" x14ac:dyDescent="0.4">
      <c r="A19" s="2" t="s">
        <v>26</v>
      </c>
      <c r="B19" s="3" t="s">
        <v>27</v>
      </c>
    </row>
    <row r="20" spans="1:2" x14ac:dyDescent="0.4">
      <c r="A20" s="2" t="s">
        <v>28</v>
      </c>
      <c r="B20" s="3" t="s">
        <v>29</v>
      </c>
    </row>
    <row r="21" spans="1:2" x14ac:dyDescent="0.4">
      <c r="A21" s="2" t="s">
        <v>30</v>
      </c>
      <c r="B21" s="3" t="s">
        <v>31</v>
      </c>
    </row>
    <row r="22" spans="1:2" x14ac:dyDescent="0.4">
      <c r="A22" s="2" t="s">
        <v>32</v>
      </c>
      <c r="B22" s="3" t="s">
        <v>33</v>
      </c>
    </row>
    <row r="23" spans="1:2" x14ac:dyDescent="0.4">
      <c r="A23" s="2"/>
      <c r="B23" s="3"/>
    </row>
    <row r="24" spans="1:2" x14ac:dyDescent="0.4">
      <c r="A24" s="2" t="s">
        <v>34</v>
      </c>
      <c r="B24" s="3"/>
    </row>
    <row r="25" spans="1:2" x14ac:dyDescent="0.4">
      <c r="A25" s="2" t="s">
        <v>35</v>
      </c>
      <c r="B25" s="3" t="s">
        <v>36</v>
      </c>
    </row>
    <row r="26" spans="1:2" x14ac:dyDescent="0.4">
      <c r="A26" s="2" t="s">
        <v>37</v>
      </c>
      <c r="B26" s="3" t="s">
        <v>38</v>
      </c>
    </row>
    <row r="27" spans="1:2" x14ac:dyDescent="0.4">
      <c r="A27" s="2" t="s">
        <v>39</v>
      </c>
      <c r="B27" s="3" t="s">
        <v>40</v>
      </c>
    </row>
    <row r="28" spans="1:2" x14ac:dyDescent="0.4">
      <c r="A28" s="2" t="s">
        <v>41</v>
      </c>
      <c r="B28" s="3" t="s">
        <v>42</v>
      </c>
    </row>
    <row r="29" spans="1:2" x14ac:dyDescent="0.4">
      <c r="A29" s="2"/>
      <c r="B29" s="3"/>
    </row>
    <row r="30" spans="1:2" x14ac:dyDescent="0.4">
      <c r="A30" s="2" t="s">
        <v>43</v>
      </c>
      <c r="B30" s="3" t="s">
        <v>44</v>
      </c>
    </row>
    <row r="31" spans="1:2" x14ac:dyDescent="0.4">
      <c r="A31" s="2" t="s">
        <v>45</v>
      </c>
      <c r="B31" s="3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zoomScaleNormal="100" workbookViewId="0">
      <pane ySplit="1" topLeftCell="A2" activePane="bottomLeft" state="frozen"/>
      <selection pane="bottomLeft"/>
    </sheetView>
  </sheetViews>
  <sheetFormatPr defaultColWidth="8.69140625" defaultRowHeight="14.6" x14ac:dyDescent="0.4"/>
  <cols>
    <col min="1" max="1" width="12" customWidth="1"/>
    <col min="2" max="2" width="26" customWidth="1"/>
    <col min="3" max="3" width="11" customWidth="1"/>
    <col min="4" max="4" width="17" customWidth="1"/>
    <col min="5" max="5" width="21" customWidth="1"/>
    <col min="6" max="6" width="30" customWidth="1"/>
    <col min="7" max="7" width="11" customWidth="1"/>
  </cols>
  <sheetData>
    <row r="1" spans="1:7" x14ac:dyDescent="0.4">
      <c r="A1" s="4" t="s">
        <v>47</v>
      </c>
      <c r="B1" s="4" t="s">
        <v>48</v>
      </c>
      <c r="C1" s="4" t="s">
        <v>49</v>
      </c>
      <c r="D1" s="4" t="s">
        <v>50</v>
      </c>
      <c r="E1" s="4" t="s">
        <v>51</v>
      </c>
      <c r="F1" s="4" t="s">
        <v>52</v>
      </c>
      <c r="G1" s="4" t="s">
        <v>53</v>
      </c>
    </row>
    <row r="2" spans="1:7" x14ac:dyDescent="0.4">
      <c r="A2" s="5" t="s">
        <v>54</v>
      </c>
      <c r="B2" s="5" t="s">
        <v>55</v>
      </c>
      <c r="C2" s="5" t="s">
        <v>56</v>
      </c>
      <c r="D2" s="5" t="s">
        <v>57</v>
      </c>
      <c r="E2" s="5" t="s">
        <v>58</v>
      </c>
      <c r="F2" s="5" t="s">
        <v>59</v>
      </c>
      <c r="G2" s="5" t="s">
        <v>60</v>
      </c>
    </row>
    <row r="3" spans="1:7" x14ac:dyDescent="0.4">
      <c r="A3" s="5" t="s">
        <v>61</v>
      </c>
      <c r="B3" s="5" t="s">
        <v>62</v>
      </c>
      <c r="C3" s="5" t="s">
        <v>63</v>
      </c>
      <c r="D3" s="5" t="s">
        <v>64</v>
      </c>
      <c r="E3" s="5" t="s">
        <v>65</v>
      </c>
      <c r="F3" s="5" t="s">
        <v>66</v>
      </c>
      <c r="G3" s="5" t="s">
        <v>60</v>
      </c>
    </row>
    <row r="4" spans="1:7" x14ac:dyDescent="0.4">
      <c r="A4" s="5" t="s">
        <v>67</v>
      </c>
      <c r="B4" s="5" t="s">
        <v>68</v>
      </c>
      <c r="C4" s="5" t="s">
        <v>69</v>
      </c>
      <c r="D4" s="5" t="s">
        <v>70</v>
      </c>
      <c r="E4" s="5" t="s">
        <v>71</v>
      </c>
      <c r="F4" s="5" t="s">
        <v>72</v>
      </c>
      <c r="G4" s="5" t="s">
        <v>60</v>
      </c>
    </row>
    <row r="5" spans="1:7" x14ac:dyDescent="0.4">
      <c r="A5" s="5" t="s">
        <v>73</v>
      </c>
      <c r="B5" s="5" t="s">
        <v>74</v>
      </c>
      <c r="C5" s="5" t="s">
        <v>75</v>
      </c>
      <c r="D5" s="5" t="s">
        <v>57</v>
      </c>
      <c r="E5" s="5" t="s">
        <v>58</v>
      </c>
      <c r="F5" s="5" t="s">
        <v>76</v>
      </c>
      <c r="G5" s="5" t="s">
        <v>60</v>
      </c>
    </row>
    <row r="6" spans="1:7" x14ac:dyDescent="0.4">
      <c r="A6" s="5" t="s">
        <v>77</v>
      </c>
      <c r="B6" s="5" t="s">
        <v>78</v>
      </c>
      <c r="C6" s="5" t="s">
        <v>79</v>
      </c>
      <c r="D6" s="5" t="s">
        <v>57</v>
      </c>
      <c r="E6" s="5" t="s">
        <v>58</v>
      </c>
      <c r="F6" s="5" t="s">
        <v>80</v>
      </c>
      <c r="G6" s="5" t="s">
        <v>81</v>
      </c>
    </row>
    <row r="7" spans="1:7" x14ac:dyDescent="0.4">
      <c r="A7" s="5" t="s">
        <v>82</v>
      </c>
      <c r="B7" s="5" t="s">
        <v>83</v>
      </c>
      <c r="C7" s="5" t="s">
        <v>84</v>
      </c>
      <c r="D7" s="5" t="s">
        <v>57</v>
      </c>
      <c r="E7" s="5" t="s">
        <v>58</v>
      </c>
      <c r="F7" s="5" t="s">
        <v>85</v>
      </c>
      <c r="G7" s="5" t="s">
        <v>60</v>
      </c>
    </row>
    <row r="8" spans="1:7" x14ac:dyDescent="0.4">
      <c r="A8" s="5" t="s">
        <v>86</v>
      </c>
      <c r="B8" s="5" t="s">
        <v>87</v>
      </c>
      <c r="C8" s="5" t="s">
        <v>69</v>
      </c>
      <c r="D8" s="5" t="s">
        <v>70</v>
      </c>
      <c r="E8" s="5" t="s">
        <v>58</v>
      </c>
      <c r="F8" s="5" t="s">
        <v>88</v>
      </c>
      <c r="G8" s="5" t="s">
        <v>60</v>
      </c>
    </row>
    <row r="9" spans="1:7" x14ac:dyDescent="0.4">
      <c r="A9" s="5" t="s">
        <v>89</v>
      </c>
      <c r="B9" s="5" t="s">
        <v>90</v>
      </c>
      <c r="C9" s="5" t="s">
        <v>91</v>
      </c>
      <c r="D9" s="5" t="s">
        <v>57</v>
      </c>
      <c r="E9" s="5" t="s">
        <v>58</v>
      </c>
      <c r="F9" s="5" t="s">
        <v>92</v>
      </c>
      <c r="G9" s="5" t="s">
        <v>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zoomScaleNormal="100" workbookViewId="0">
      <pane ySplit="1" topLeftCell="A2" activePane="bottomLeft" state="frozen"/>
      <selection pane="bottomLeft"/>
    </sheetView>
  </sheetViews>
  <sheetFormatPr defaultColWidth="8.69140625" defaultRowHeight="14.6" x14ac:dyDescent="0.4"/>
  <cols>
    <col min="1" max="1" width="11" customWidth="1"/>
    <col min="2" max="2" width="60" customWidth="1"/>
    <col min="3" max="3" width="18" customWidth="1"/>
    <col min="4" max="4" width="19" customWidth="1"/>
    <col min="5" max="5" width="16" customWidth="1"/>
    <col min="6" max="6" width="11" customWidth="1"/>
    <col min="7" max="8" width="13" customWidth="1"/>
    <col min="9" max="9" width="17" customWidth="1"/>
  </cols>
  <sheetData>
    <row r="1" spans="1:9" x14ac:dyDescent="0.4">
      <c r="A1" s="4" t="s">
        <v>93</v>
      </c>
      <c r="B1" s="4" t="s">
        <v>94</v>
      </c>
      <c r="C1" s="4" t="s">
        <v>95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100</v>
      </c>
      <c r="I1" s="4" t="s">
        <v>101</v>
      </c>
    </row>
    <row r="2" spans="1:9" x14ac:dyDescent="0.4">
      <c r="A2" s="5" t="s">
        <v>102</v>
      </c>
      <c r="B2" s="6" t="s">
        <v>103</v>
      </c>
      <c r="C2" s="5" t="s">
        <v>104</v>
      </c>
      <c r="D2" s="5" t="s">
        <v>105</v>
      </c>
      <c r="E2" s="5">
        <v>12000</v>
      </c>
      <c r="F2" s="5" t="s">
        <v>57</v>
      </c>
      <c r="G2" s="5" t="s">
        <v>106</v>
      </c>
      <c r="H2" s="5" t="s">
        <v>107</v>
      </c>
      <c r="I2" s="5" t="s">
        <v>108</v>
      </c>
    </row>
    <row r="3" spans="1:9" x14ac:dyDescent="0.4">
      <c r="A3" s="5" t="s">
        <v>109</v>
      </c>
      <c r="B3" s="6" t="s">
        <v>110</v>
      </c>
      <c r="C3" s="5" t="s">
        <v>111</v>
      </c>
      <c r="D3" s="5" t="s">
        <v>112</v>
      </c>
      <c r="E3" s="5">
        <v>38000</v>
      </c>
      <c r="F3" s="5" t="s">
        <v>57</v>
      </c>
      <c r="G3" s="5" t="s">
        <v>113</v>
      </c>
      <c r="H3" s="5" t="s">
        <v>114</v>
      </c>
      <c r="I3" s="5" t="s">
        <v>108</v>
      </c>
    </row>
    <row r="4" spans="1:9" x14ac:dyDescent="0.4">
      <c r="A4" s="5" t="s">
        <v>115</v>
      </c>
      <c r="B4" s="6" t="s">
        <v>116</v>
      </c>
      <c r="C4" s="5" t="s">
        <v>117</v>
      </c>
      <c r="D4" s="5" t="s">
        <v>118</v>
      </c>
      <c r="E4" s="5">
        <v>15500</v>
      </c>
      <c r="F4" s="5" t="s">
        <v>57</v>
      </c>
      <c r="G4" s="5" t="s">
        <v>119</v>
      </c>
      <c r="H4" s="5" t="s">
        <v>120</v>
      </c>
      <c r="I4" s="5" t="s">
        <v>108</v>
      </c>
    </row>
    <row r="5" spans="1:9" x14ac:dyDescent="0.4">
      <c r="A5" s="7" t="s">
        <v>121</v>
      </c>
      <c r="B5" s="8" t="s">
        <v>122</v>
      </c>
      <c r="C5" s="7" t="s">
        <v>123</v>
      </c>
      <c r="D5" s="7" t="s">
        <v>124</v>
      </c>
      <c r="E5" s="7">
        <v>9200</v>
      </c>
      <c r="F5" s="7" t="s">
        <v>57</v>
      </c>
      <c r="G5" s="7" t="s">
        <v>125</v>
      </c>
      <c r="H5" s="7" t="s">
        <v>126</v>
      </c>
      <c r="I5" s="7" t="s">
        <v>127</v>
      </c>
    </row>
    <row r="6" spans="1:9" x14ac:dyDescent="0.4">
      <c r="A6" s="7" t="s">
        <v>128</v>
      </c>
      <c r="B6" s="8" t="s">
        <v>129</v>
      </c>
      <c r="C6" s="7" t="s">
        <v>104</v>
      </c>
      <c r="D6" s="7" t="s">
        <v>130</v>
      </c>
      <c r="E6" s="7">
        <v>6800</v>
      </c>
      <c r="F6" s="7" t="s">
        <v>57</v>
      </c>
      <c r="G6" s="7" t="s">
        <v>131</v>
      </c>
      <c r="H6" s="7" t="s">
        <v>132</v>
      </c>
      <c r="I6" s="7" t="s">
        <v>127</v>
      </c>
    </row>
    <row r="7" spans="1:9" x14ac:dyDescent="0.4">
      <c r="A7" s="7" t="s">
        <v>133</v>
      </c>
      <c r="B7" s="8" t="s">
        <v>134</v>
      </c>
      <c r="C7" s="7" t="s">
        <v>111</v>
      </c>
      <c r="D7" s="7" t="s">
        <v>112</v>
      </c>
      <c r="E7" s="7">
        <v>27000</v>
      </c>
      <c r="F7" s="7" t="s">
        <v>57</v>
      </c>
      <c r="G7" s="7" t="s">
        <v>135</v>
      </c>
      <c r="H7" s="7" t="s">
        <v>136</v>
      </c>
      <c r="I7" s="7" t="s">
        <v>108</v>
      </c>
    </row>
    <row r="8" spans="1:9" x14ac:dyDescent="0.4">
      <c r="A8" s="7" t="s">
        <v>137</v>
      </c>
      <c r="B8" s="8" t="s">
        <v>138</v>
      </c>
      <c r="C8" s="7" t="s">
        <v>117</v>
      </c>
      <c r="D8" s="7" t="s">
        <v>118</v>
      </c>
      <c r="E8" s="7">
        <v>18000</v>
      </c>
      <c r="F8" s="7" t="s">
        <v>57</v>
      </c>
      <c r="G8" s="7" t="s">
        <v>139</v>
      </c>
      <c r="H8" s="7" t="s">
        <v>140</v>
      </c>
      <c r="I8" s="7" t="s">
        <v>108</v>
      </c>
    </row>
    <row r="9" spans="1:9" x14ac:dyDescent="0.4">
      <c r="A9" s="5" t="s">
        <v>141</v>
      </c>
      <c r="B9" s="6" t="s">
        <v>142</v>
      </c>
      <c r="C9" s="5" t="s">
        <v>123</v>
      </c>
      <c r="D9" s="5" t="s">
        <v>105</v>
      </c>
      <c r="E9" s="5">
        <v>11000</v>
      </c>
      <c r="F9" s="5" t="s">
        <v>57</v>
      </c>
      <c r="G9" s="5" t="s">
        <v>132</v>
      </c>
      <c r="H9" s="5" t="s">
        <v>143</v>
      </c>
      <c r="I9" s="5" t="s">
        <v>127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zoomScaleNormal="100" workbookViewId="0">
      <pane ySplit="1" topLeftCell="A2" activePane="bottomLeft" state="frozen"/>
      <selection pane="bottomLeft"/>
    </sheetView>
  </sheetViews>
  <sheetFormatPr defaultColWidth="8.69140625" defaultRowHeight="14.6" x14ac:dyDescent="0.4"/>
  <cols>
    <col min="1" max="2" width="11" customWidth="1"/>
    <col min="3" max="3" width="12" customWidth="1"/>
    <col min="4" max="4" width="16" customWidth="1"/>
    <col min="5" max="6" width="14" customWidth="1"/>
    <col min="7" max="7" width="60" customWidth="1"/>
  </cols>
  <sheetData>
    <row r="1" spans="1:7" x14ac:dyDescent="0.4">
      <c r="A1" s="4" t="s">
        <v>144</v>
      </c>
      <c r="B1" s="4" t="s">
        <v>93</v>
      </c>
      <c r="C1" s="4" t="s">
        <v>47</v>
      </c>
      <c r="D1" s="4" t="s">
        <v>145</v>
      </c>
      <c r="E1" s="4" t="s">
        <v>146</v>
      </c>
      <c r="F1" s="4" t="s">
        <v>147</v>
      </c>
      <c r="G1" s="4" t="s">
        <v>148</v>
      </c>
    </row>
    <row r="2" spans="1:7" ht="49.75" x14ac:dyDescent="0.4">
      <c r="A2" s="5" t="s">
        <v>149</v>
      </c>
      <c r="B2" s="5" t="s">
        <v>102</v>
      </c>
      <c r="C2" s="5"/>
      <c r="D2" s="5" t="s">
        <v>150</v>
      </c>
      <c r="E2" s="5" t="s">
        <v>106</v>
      </c>
      <c r="F2" s="5" t="s">
        <v>151</v>
      </c>
      <c r="G2" s="6" t="s">
        <v>152</v>
      </c>
    </row>
    <row r="3" spans="1:7" ht="37.299999999999997" x14ac:dyDescent="0.4">
      <c r="A3" s="5" t="s">
        <v>153</v>
      </c>
      <c r="B3" s="5" t="s">
        <v>102</v>
      </c>
      <c r="C3" s="5" t="s">
        <v>54</v>
      </c>
      <c r="D3" s="5" t="s">
        <v>154</v>
      </c>
      <c r="E3" s="5" t="s">
        <v>125</v>
      </c>
      <c r="F3" s="5" t="s">
        <v>151</v>
      </c>
      <c r="G3" s="6" t="s">
        <v>155</v>
      </c>
    </row>
    <row r="4" spans="1:7" ht="49.75" x14ac:dyDescent="0.4">
      <c r="A4" s="5" t="s">
        <v>156</v>
      </c>
      <c r="B4" s="5" t="s">
        <v>102</v>
      </c>
      <c r="C4" s="5" t="s">
        <v>73</v>
      </c>
      <c r="D4" s="5" t="s">
        <v>154</v>
      </c>
      <c r="E4" s="5" t="s">
        <v>139</v>
      </c>
      <c r="F4" s="5" t="s">
        <v>151</v>
      </c>
      <c r="G4" s="6" t="s">
        <v>157</v>
      </c>
    </row>
    <row r="5" spans="1:7" ht="24.9" x14ac:dyDescent="0.4">
      <c r="A5" s="5" t="s">
        <v>158</v>
      </c>
      <c r="B5" s="5" t="s">
        <v>109</v>
      </c>
      <c r="C5" s="5"/>
      <c r="D5" s="5" t="s">
        <v>150</v>
      </c>
      <c r="E5" s="5" t="s">
        <v>113</v>
      </c>
      <c r="F5" s="5" t="s">
        <v>151</v>
      </c>
      <c r="G5" s="6" t="s">
        <v>159</v>
      </c>
    </row>
    <row r="6" spans="1:7" ht="37.299999999999997" x14ac:dyDescent="0.4">
      <c r="A6" s="5" t="s">
        <v>160</v>
      </c>
      <c r="B6" s="5" t="s">
        <v>109</v>
      </c>
      <c r="C6" s="5" t="s">
        <v>67</v>
      </c>
      <c r="D6" s="5" t="s">
        <v>154</v>
      </c>
      <c r="E6" s="5" t="s">
        <v>161</v>
      </c>
      <c r="F6" s="5" t="s">
        <v>151</v>
      </c>
      <c r="G6" s="6" t="s">
        <v>162</v>
      </c>
    </row>
    <row r="7" spans="1:7" ht="24.9" x14ac:dyDescent="0.4">
      <c r="A7" s="5" t="s">
        <v>163</v>
      </c>
      <c r="B7" s="5" t="s">
        <v>109</v>
      </c>
      <c r="C7" s="5" t="s">
        <v>54</v>
      </c>
      <c r="D7" s="5" t="s">
        <v>154</v>
      </c>
      <c r="E7" s="5" t="s">
        <v>164</v>
      </c>
      <c r="F7" s="5" t="s">
        <v>151</v>
      </c>
      <c r="G7" s="6" t="s">
        <v>165</v>
      </c>
    </row>
    <row r="8" spans="1:7" ht="24.9" x14ac:dyDescent="0.4">
      <c r="A8" s="5" t="s">
        <v>166</v>
      </c>
      <c r="B8" s="5" t="s">
        <v>109</v>
      </c>
      <c r="C8" s="5" t="s">
        <v>54</v>
      </c>
      <c r="D8" s="5" t="s">
        <v>167</v>
      </c>
      <c r="E8" s="5" t="s">
        <v>164</v>
      </c>
      <c r="F8" s="5" t="s">
        <v>151</v>
      </c>
      <c r="G8" s="6" t="s">
        <v>168</v>
      </c>
    </row>
    <row r="9" spans="1:7" ht="24.9" x14ac:dyDescent="0.4">
      <c r="A9" s="5" t="s">
        <v>169</v>
      </c>
      <c r="B9" s="5" t="s">
        <v>115</v>
      </c>
      <c r="C9" s="5"/>
      <c r="D9" s="5" t="s">
        <v>150</v>
      </c>
      <c r="E9" s="5" t="s">
        <v>119</v>
      </c>
      <c r="F9" s="5" t="s">
        <v>151</v>
      </c>
      <c r="G9" s="6" t="s">
        <v>170</v>
      </c>
    </row>
    <row r="10" spans="1:7" ht="37.299999999999997" x14ac:dyDescent="0.4">
      <c r="A10" s="5" t="s">
        <v>171</v>
      </c>
      <c r="B10" s="5" t="s">
        <v>115</v>
      </c>
      <c r="C10" s="5" t="s">
        <v>61</v>
      </c>
      <c r="D10" s="5" t="s">
        <v>154</v>
      </c>
      <c r="E10" s="5" t="s">
        <v>107</v>
      </c>
      <c r="F10" s="5" t="s">
        <v>151</v>
      </c>
      <c r="G10" s="6" t="s">
        <v>172</v>
      </c>
    </row>
    <row r="11" spans="1:7" ht="24.9" x14ac:dyDescent="0.4">
      <c r="A11" s="5" t="s">
        <v>173</v>
      </c>
      <c r="B11" s="5" t="s">
        <v>115</v>
      </c>
      <c r="C11" s="5" t="s">
        <v>82</v>
      </c>
      <c r="D11" s="5" t="s">
        <v>154</v>
      </c>
      <c r="E11" s="5" t="s">
        <v>174</v>
      </c>
      <c r="F11" s="5" t="s">
        <v>151</v>
      </c>
      <c r="G11" s="6" t="s">
        <v>175</v>
      </c>
    </row>
    <row r="12" spans="1:7" ht="24.9" x14ac:dyDescent="0.4">
      <c r="A12" s="7" t="s">
        <v>176</v>
      </c>
      <c r="B12" s="7" t="s">
        <v>121</v>
      </c>
      <c r="C12" s="7"/>
      <c r="D12" s="7" t="s">
        <v>150</v>
      </c>
      <c r="E12" s="7" t="s">
        <v>125</v>
      </c>
      <c r="F12" s="7" t="s">
        <v>151</v>
      </c>
      <c r="G12" s="8" t="s">
        <v>177</v>
      </c>
    </row>
    <row r="13" spans="1:7" ht="24.9" x14ac:dyDescent="0.4">
      <c r="A13" s="7" t="s">
        <v>178</v>
      </c>
      <c r="B13" s="7" t="s">
        <v>121</v>
      </c>
      <c r="C13" s="7" t="s">
        <v>77</v>
      </c>
      <c r="D13" s="7" t="s">
        <v>154</v>
      </c>
      <c r="E13" s="7" t="s">
        <v>136</v>
      </c>
      <c r="F13" s="7" t="s">
        <v>151</v>
      </c>
      <c r="G13" s="8" t="s">
        <v>179</v>
      </c>
    </row>
    <row r="14" spans="1:7" ht="24.9" x14ac:dyDescent="0.4">
      <c r="A14" s="7" t="s">
        <v>180</v>
      </c>
      <c r="B14" s="7" t="s">
        <v>128</v>
      </c>
      <c r="C14" s="7"/>
      <c r="D14" s="7" t="s">
        <v>150</v>
      </c>
      <c r="E14" s="7" t="s">
        <v>131</v>
      </c>
      <c r="F14" s="7" t="s">
        <v>151</v>
      </c>
      <c r="G14" s="8" t="s">
        <v>181</v>
      </c>
    </row>
    <row r="15" spans="1:7" x14ac:dyDescent="0.4">
      <c r="A15" s="5" t="s">
        <v>182</v>
      </c>
      <c r="B15" s="5" t="s">
        <v>133</v>
      </c>
      <c r="C15" s="5"/>
      <c r="D15" s="5" t="s">
        <v>150</v>
      </c>
      <c r="E15" s="5" t="s">
        <v>135</v>
      </c>
      <c r="F15" s="5" t="s">
        <v>151</v>
      </c>
      <c r="G15" s="6" t="s">
        <v>183</v>
      </c>
    </row>
    <row r="16" spans="1:7" ht="24.9" x14ac:dyDescent="0.4">
      <c r="A16" s="7" t="s">
        <v>184</v>
      </c>
      <c r="B16" s="7" t="s">
        <v>133</v>
      </c>
      <c r="C16" s="7" t="s">
        <v>54</v>
      </c>
      <c r="D16" s="7" t="s">
        <v>154</v>
      </c>
      <c r="E16" s="7" t="s">
        <v>107</v>
      </c>
      <c r="F16" s="7" t="s">
        <v>151</v>
      </c>
      <c r="G16" s="8" t="s">
        <v>185</v>
      </c>
    </row>
    <row r="17" spans="1:7" ht="24.9" x14ac:dyDescent="0.4">
      <c r="A17" s="7" t="s">
        <v>186</v>
      </c>
      <c r="B17" s="7" t="s">
        <v>133</v>
      </c>
      <c r="C17" s="7" t="s">
        <v>61</v>
      </c>
      <c r="D17" s="7" t="s">
        <v>154</v>
      </c>
      <c r="E17" s="7" t="s">
        <v>174</v>
      </c>
      <c r="F17" s="7" t="s">
        <v>151</v>
      </c>
      <c r="G17" s="8" t="s">
        <v>187</v>
      </c>
    </row>
    <row r="18" spans="1:7" ht="24.9" x14ac:dyDescent="0.4">
      <c r="A18" s="7" t="s">
        <v>188</v>
      </c>
      <c r="B18" s="7" t="s">
        <v>133</v>
      </c>
      <c r="C18" s="7" t="s">
        <v>86</v>
      </c>
      <c r="D18" s="7" t="s">
        <v>154</v>
      </c>
      <c r="E18" s="7" t="s">
        <v>174</v>
      </c>
      <c r="F18" s="7" t="s">
        <v>151</v>
      </c>
      <c r="G18" s="8" t="s">
        <v>189</v>
      </c>
    </row>
    <row r="19" spans="1:7" x14ac:dyDescent="0.4">
      <c r="A19" s="5" t="s">
        <v>190</v>
      </c>
      <c r="B19" s="5" t="s">
        <v>137</v>
      </c>
      <c r="C19" s="5"/>
      <c r="D19" s="5" t="s">
        <v>150</v>
      </c>
      <c r="E19" s="5" t="s">
        <v>139</v>
      </c>
      <c r="F19" s="5" t="s">
        <v>151</v>
      </c>
      <c r="G19" s="6" t="s">
        <v>191</v>
      </c>
    </row>
    <row r="20" spans="1:7" ht="24.9" x14ac:dyDescent="0.4">
      <c r="A20" s="7" t="s">
        <v>192</v>
      </c>
      <c r="B20" s="7" t="s">
        <v>137</v>
      </c>
      <c r="C20" s="7" t="s">
        <v>82</v>
      </c>
      <c r="D20" s="7" t="s">
        <v>154</v>
      </c>
      <c r="E20" s="7" t="s">
        <v>114</v>
      </c>
      <c r="F20" s="7" t="s">
        <v>151</v>
      </c>
      <c r="G20" s="8" t="s">
        <v>193</v>
      </c>
    </row>
    <row r="21" spans="1:7" ht="24.9" x14ac:dyDescent="0.4">
      <c r="A21" s="7" t="s">
        <v>194</v>
      </c>
      <c r="B21" s="7" t="s">
        <v>137</v>
      </c>
      <c r="C21" s="7" t="s">
        <v>82</v>
      </c>
      <c r="D21" s="7" t="s">
        <v>154</v>
      </c>
      <c r="E21" s="7" t="s">
        <v>120</v>
      </c>
      <c r="F21" s="7" t="s">
        <v>151</v>
      </c>
      <c r="G21" s="8" t="s">
        <v>195</v>
      </c>
    </row>
    <row r="22" spans="1:7" ht="24.9" x14ac:dyDescent="0.4">
      <c r="A22" s="5" t="s">
        <v>196</v>
      </c>
      <c r="B22" s="5" t="s">
        <v>137</v>
      </c>
      <c r="C22" s="5" t="s">
        <v>89</v>
      </c>
      <c r="D22" s="5" t="s">
        <v>154</v>
      </c>
      <c r="E22" s="5" t="s">
        <v>136</v>
      </c>
      <c r="F22" s="5" t="s">
        <v>151</v>
      </c>
      <c r="G22" s="6" t="s">
        <v>197</v>
      </c>
    </row>
    <row r="23" spans="1:7" ht="62.15" x14ac:dyDescent="0.4">
      <c r="A23" s="7" t="s">
        <v>198</v>
      </c>
      <c r="B23" s="7" t="s">
        <v>141</v>
      </c>
      <c r="C23" s="7"/>
      <c r="D23" s="7" t="s">
        <v>150</v>
      </c>
      <c r="E23" s="7" t="s">
        <v>132</v>
      </c>
      <c r="F23" s="7" t="s">
        <v>199</v>
      </c>
      <c r="G23" s="8" t="s">
        <v>200</v>
      </c>
    </row>
    <row r="24" spans="1:7" ht="24.9" x14ac:dyDescent="0.4">
      <c r="A24" s="5" t="s">
        <v>201</v>
      </c>
      <c r="B24" s="5" t="s">
        <v>141</v>
      </c>
      <c r="C24" s="5" t="s">
        <v>73</v>
      </c>
      <c r="D24" s="5" t="s">
        <v>154</v>
      </c>
      <c r="E24" s="5" t="s">
        <v>126</v>
      </c>
      <c r="F24" s="5" t="s">
        <v>151</v>
      </c>
      <c r="G24" s="6" t="s">
        <v>202</v>
      </c>
    </row>
    <row r="25" spans="1:7" ht="24.9" x14ac:dyDescent="0.4">
      <c r="A25" s="7" t="s">
        <v>203</v>
      </c>
      <c r="B25" s="7"/>
      <c r="C25" s="7" t="s">
        <v>67</v>
      </c>
      <c r="D25" s="7" t="s">
        <v>154</v>
      </c>
      <c r="E25" s="7" t="s">
        <v>114</v>
      </c>
      <c r="F25" s="7" t="s">
        <v>204</v>
      </c>
      <c r="G25" s="8" t="s">
        <v>205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"/>
  <sheetViews>
    <sheetView zoomScaleNormal="100" workbookViewId="0">
      <pane ySplit="1" topLeftCell="A2" activePane="bottomLeft" state="frozen"/>
      <selection pane="bottomLeft"/>
    </sheetView>
  </sheetViews>
  <sheetFormatPr defaultColWidth="8.69140625" defaultRowHeight="14.6" x14ac:dyDescent="0.4"/>
  <cols>
    <col min="1" max="2" width="11" customWidth="1"/>
    <col min="3" max="3" width="12" customWidth="1"/>
    <col min="4" max="5" width="11" customWidth="1"/>
    <col min="6" max="6" width="16" customWidth="1"/>
    <col min="7" max="7" width="13" customWidth="1"/>
    <col min="8" max="8" width="11" customWidth="1"/>
    <col min="9" max="9" width="13" customWidth="1"/>
    <col min="10" max="10" width="30" customWidth="1"/>
  </cols>
  <sheetData>
    <row r="1" spans="1:10" ht="24.9" x14ac:dyDescent="0.4">
      <c r="A1" s="4" t="s">
        <v>206</v>
      </c>
      <c r="B1" s="4" t="s">
        <v>93</v>
      </c>
      <c r="C1" s="4" t="s">
        <v>47</v>
      </c>
      <c r="D1" s="4" t="s">
        <v>144</v>
      </c>
      <c r="E1" s="4" t="s">
        <v>98</v>
      </c>
      <c r="F1" s="4" t="s">
        <v>207</v>
      </c>
      <c r="G1" s="4" t="s">
        <v>208</v>
      </c>
      <c r="H1" s="4" t="s">
        <v>209</v>
      </c>
      <c r="I1" s="4" t="s">
        <v>210</v>
      </c>
      <c r="J1" s="4" t="s">
        <v>211</v>
      </c>
    </row>
    <row r="2" spans="1:10" x14ac:dyDescent="0.4">
      <c r="A2" s="5" t="s">
        <v>212</v>
      </c>
      <c r="B2" s="5" t="s">
        <v>102</v>
      </c>
      <c r="C2" s="5" t="s">
        <v>54</v>
      </c>
      <c r="D2" s="5" t="s">
        <v>153</v>
      </c>
      <c r="E2" s="5" t="s">
        <v>57</v>
      </c>
      <c r="F2" s="9">
        <v>8500</v>
      </c>
      <c r="G2" s="5" t="s">
        <v>213</v>
      </c>
      <c r="H2" s="10">
        <v>0.19</v>
      </c>
      <c r="I2" s="11">
        <v>1</v>
      </c>
      <c r="J2" s="9">
        <f t="shared" ref="J2:J16" si="0">IF(G2="Yes",F2/(1+H2),F2)*I2</f>
        <v>8500</v>
      </c>
    </row>
    <row r="3" spans="1:10" x14ac:dyDescent="0.4">
      <c r="A3" s="5" t="s">
        <v>214</v>
      </c>
      <c r="B3" s="5" t="s">
        <v>102</v>
      </c>
      <c r="C3" s="5" t="s">
        <v>73</v>
      </c>
      <c r="D3" s="5" t="s">
        <v>156</v>
      </c>
      <c r="E3" s="5" t="s">
        <v>57</v>
      </c>
      <c r="F3" s="9">
        <v>8800</v>
      </c>
      <c r="G3" s="5" t="s">
        <v>213</v>
      </c>
      <c r="H3" s="10">
        <v>0.22</v>
      </c>
      <c r="I3" s="11">
        <v>1</v>
      </c>
      <c r="J3" s="9">
        <f t="shared" si="0"/>
        <v>8800</v>
      </c>
    </row>
    <row r="4" spans="1:10" x14ac:dyDescent="0.4">
      <c r="A4" s="7" t="s">
        <v>215</v>
      </c>
      <c r="B4" s="7" t="s">
        <v>109</v>
      </c>
      <c r="C4" s="7" t="s">
        <v>67</v>
      </c>
      <c r="D4" s="7" t="s">
        <v>160</v>
      </c>
      <c r="E4" s="7" t="s">
        <v>70</v>
      </c>
      <c r="F4" s="12">
        <v>39600</v>
      </c>
      <c r="G4" s="7" t="s">
        <v>213</v>
      </c>
      <c r="H4" s="13">
        <v>0</v>
      </c>
      <c r="I4" s="14">
        <v>0.92</v>
      </c>
      <c r="J4" s="12">
        <f t="shared" si="0"/>
        <v>36432</v>
      </c>
    </row>
    <row r="5" spans="1:10" x14ac:dyDescent="0.4">
      <c r="A5" s="5" t="s">
        <v>216</v>
      </c>
      <c r="B5" s="5" t="s">
        <v>109</v>
      </c>
      <c r="C5" s="5" t="s">
        <v>54</v>
      </c>
      <c r="D5" s="5" t="s">
        <v>163</v>
      </c>
      <c r="E5" s="5" t="s">
        <v>57</v>
      </c>
      <c r="F5" s="9">
        <v>34400</v>
      </c>
      <c r="G5" s="5" t="s">
        <v>213</v>
      </c>
      <c r="H5" s="10">
        <v>0.19</v>
      </c>
      <c r="I5" s="11">
        <v>1</v>
      </c>
      <c r="J5" s="9">
        <f t="shared" si="0"/>
        <v>34400</v>
      </c>
    </row>
    <row r="6" spans="1:10" x14ac:dyDescent="0.4">
      <c r="A6" s="7" t="s">
        <v>217</v>
      </c>
      <c r="B6" s="7" t="s">
        <v>115</v>
      </c>
      <c r="C6" s="7" t="s">
        <v>61</v>
      </c>
      <c r="D6" s="7" t="s">
        <v>171</v>
      </c>
      <c r="E6" s="7" t="s">
        <v>64</v>
      </c>
      <c r="F6" s="12">
        <v>12000</v>
      </c>
      <c r="G6" s="7" t="s">
        <v>213</v>
      </c>
      <c r="H6" s="13">
        <v>0.2</v>
      </c>
      <c r="I6" s="14">
        <v>1.17</v>
      </c>
      <c r="J6" s="12">
        <f t="shared" si="0"/>
        <v>14040</v>
      </c>
    </row>
    <row r="7" spans="1:10" x14ac:dyDescent="0.4">
      <c r="A7" s="5" t="s">
        <v>218</v>
      </c>
      <c r="B7" s="5" t="s">
        <v>115</v>
      </c>
      <c r="C7" s="5" t="s">
        <v>82</v>
      </c>
      <c r="D7" s="5" t="s">
        <v>173</v>
      </c>
      <c r="E7" s="5" t="s">
        <v>57</v>
      </c>
      <c r="F7" s="9">
        <v>14750</v>
      </c>
      <c r="G7" s="5" t="s">
        <v>213</v>
      </c>
      <c r="H7" s="10">
        <v>0.21</v>
      </c>
      <c r="I7" s="11">
        <v>1</v>
      </c>
      <c r="J7" s="9">
        <f t="shared" si="0"/>
        <v>14750</v>
      </c>
    </row>
    <row r="8" spans="1:10" x14ac:dyDescent="0.4">
      <c r="A8" s="7" t="s">
        <v>219</v>
      </c>
      <c r="B8" s="7" t="s">
        <v>121</v>
      </c>
      <c r="C8" s="7" t="s">
        <v>77</v>
      </c>
      <c r="D8" s="7" t="s">
        <v>178</v>
      </c>
      <c r="E8" s="7" t="s">
        <v>57</v>
      </c>
      <c r="F8" s="12">
        <v>8200</v>
      </c>
      <c r="G8" s="7" t="s">
        <v>220</v>
      </c>
      <c r="H8" s="13">
        <v>0.23</v>
      </c>
      <c r="I8" s="14">
        <v>1</v>
      </c>
      <c r="J8" s="12">
        <f t="shared" si="0"/>
        <v>6666.666666666667</v>
      </c>
    </row>
    <row r="9" spans="1:10" x14ac:dyDescent="0.4">
      <c r="A9" s="7" t="s">
        <v>221</v>
      </c>
      <c r="B9" s="7" t="s">
        <v>133</v>
      </c>
      <c r="C9" s="7" t="s">
        <v>54</v>
      </c>
      <c r="D9" s="7" t="s">
        <v>184</v>
      </c>
      <c r="E9" s="7" t="s">
        <v>57</v>
      </c>
      <c r="F9" s="12">
        <v>22200</v>
      </c>
      <c r="G9" s="7" t="s">
        <v>213</v>
      </c>
      <c r="H9" s="13">
        <v>0.19</v>
      </c>
      <c r="I9" s="14">
        <v>1</v>
      </c>
      <c r="J9" s="12">
        <f t="shared" si="0"/>
        <v>22200</v>
      </c>
    </row>
    <row r="10" spans="1:10" x14ac:dyDescent="0.4">
      <c r="A10" s="7" t="s">
        <v>222</v>
      </c>
      <c r="B10" s="7" t="s">
        <v>133</v>
      </c>
      <c r="C10" s="7" t="s">
        <v>61</v>
      </c>
      <c r="D10" s="7" t="s">
        <v>186</v>
      </c>
      <c r="E10" s="7" t="s">
        <v>64</v>
      </c>
      <c r="F10" s="12">
        <v>18240</v>
      </c>
      <c r="G10" s="7" t="s">
        <v>220</v>
      </c>
      <c r="H10" s="13">
        <v>0.2</v>
      </c>
      <c r="I10" s="14">
        <v>1.17</v>
      </c>
      <c r="J10" s="12">
        <f t="shared" si="0"/>
        <v>17784</v>
      </c>
    </row>
    <row r="11" spans="1:10" x14ac:dyDescent="0.4">
      <c r="A11" s="7" t="s">
        <v>223</v>
      </c>
      <c r="B11" s="7" t="s">
        <v>133</v>
      </c>
      <c r="C11" s="7" t="s">
        <v>86</v>
      </c>
      <c r="D11" s="7" t="s">
        <v>188</v>
      </c>
      <c r="E11" s="7" t="s">
        <v>70</v>
      </c>
      <c r="F11" s="12">
        <v>24120</v>
      </c>
      <c r="G11" s="7" t="s">
        <v>213</v>
      </c>
      <c r="H11" s="13">
        <v>0</v>
      </c>
      <c r="I11" s="14">
        <v>0.92</v>
      </c>
      <c r="J11" s="12">
        <f t="shared" si="0"/>
        <v>22190.400000000001</v>
      </c>
    </row>
    <row r="12" spans="1:10" x14ac:dyDescent="0.4">
      <c r="A12" s="7" t="s">
        <v>224</v>
      </c>
      <c r="B12" s="7" t="s">
        <v>137</v>
      </c>
      <c r="C12" s="7" t="s">
        <v>82</v>
      </c>
      <c r="D12" s="7" t="s">
        <v>192</v>
      </c>
      <c r="E12" s="7" t="s">
        <v>57</v>
      </c>
      <c r="F12" s="12">
        <v>17400</v>
      </c>
      <c r="G12" s="7" t="s">
        <v>213</v>
      </c>
      <c r="H12" s="13">
        <v>0</v>
      </c>
      <c r="I12" s="14">
        <v>1</v>
      </c>
      <c r="J12" s="12">
        <f t="shared" si="0"/>
        <v>17400</v>
      </c>
    </row>
    <row r="13" spans="1:10" x14ac:dyDescent="0.4">
      <c r="A13" s="7" t="s">
        <v>225</v>
      </c>
      <c r="B13" s="7" t="s">
        <v>137</v>
      </c>
      <c r="C13" s="7" t="s">
        <v>82</v>
      </c>
      <c r="D13" s="7" t="s">
        <v>194</v>
      </c>
      <c r="E13" s="7" t="s">
        <v>57</v>
      </c>
      <c r="F13" s="12">
        <v>16900</v>
      </c>
      <c r="G13" s="7" t="s">
        <v>213</v>
      </c>
      <c r="H13" s="13">
        <v>0</v>
      </c>
      <c r="I13" s="14">
        <v>1</v>
      </c>
      <c r="J13" s="12">
        <f t="shared" si="0"/>
        <v>16900</v>
      </c>
    </row>
    <row r="14" spans="1:10" x14ac:dyDescent="0.4">
      <c r="A14" s="5" t="s">
        <v>226</v>
      </c>
      <c r="B14" s="5" t="s">
        <v>137</v>
      </c>
      <c r="C14" s="5" t="s">
        <v>89</v>
      </c>
      <c r="D14" s="5" t="s">
        <v>196</v>
      </c>
      <c r="E14" s="5" t="s">
        <v>57</v>
      </c>
      <c r="F14" s="9">
        <v>18600</v>
      </c>
      <c r="G14" s="5" t="s">
        <v>213</v>
      </c>
      <c r="H14" s="10">
        <v>0.19</v>
      </c>
      <c r="I14" s="11">
        <v>1</v>
      </c>
      <c r="J14" s="9">
        <f t="shared" si="0"/>
        <v>18600</v>
      </c>
    </row>
    <row r="15" spans="1:10" x14ac:dyDescent="0.4">
      <c r="A15" s="5" t="s">
        <v>227</v>
      </c>
      <c r="B15" s="5" t="s">
        <v>141</v>
      </c>
      <c r="C15" s="5" t="s">
        <v>73</v>
      </c>
      <c r="D15" s="5" t="s">
        <v>201</v>
      </c>
      <c r="E15" s="5" t="s">
        <v>57</v>
      </c>
      <c r="F15" s="9">
        <v>10800</v>
      </c>
      <c r="G15" s="5" t="s">
        <v>213</v>
      </c>
      <c r="H15" s="10">
        <v>0.22</v>
      </c>
      <c r="I15" s="11">
        <v>1</v>
      </c>
      <c r="J15" s="9">
        <f t="shared" si="0"/>
        <v>10800</v>
      </c>
    </row>
    <row r="16" spans="1:10" x14ac:dyDescent="0.4">
      <c r="A16" s="7" t="s">
        <v>228</v>
      </c>
      <c r="B16" s="7"/>
      <c r="C16" s="7" t="s">
        <v>67</v>
      </c>
      <c r="D16" s="7" t="s">
        <v>203</v>
      </c>
      <c r="E16" s="7" t="s">
        <v>70</v>
      </c>
      <c r="F16" s="12">
        <v>1900</v>
      </c>
      <c r="G16" s="7" t="s">
        <v>213</v>
      </c>
      <c r="H16" s="13">
        <v>0</v>
      </c>
      <c r="I16" s="14">
        <v>0.92</v>
      </c>
      <c r="J16" s="12">
        <f t="shared" si="0"/>
        <v>1748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zoomScaleNormal="100" workbookViewId="0">
      <pane ySplit="1" topLeftCell="A2" activePane="bottomLeft" state="frozen"/>
      <selection pane="bottomLeft"/>
    </sheetView>
  </sheetViews>
  <sheetFormatPr defaultColWidth="8.69140625" defaultRowHeight="14.6" x14ac:dyDescent="0.4"/>
  <cols>
    <col min="1" max="2" width="11" customWidth="1"/>
    <col min="3" max="3" width="60" customWidth="1"/>
    <col min="4" max="4" width="11" customWidth="1"/>
    <col min="5" max="5" width="17" customWidth="1"/>
    <col min="6" max="6" width="11" customWidth="1"/>
    <col min="7" max="7" width="17" customWidth="1"/>
  </cols>
  <sheetData>
    <row r="1" spans="1:7" x14ac:dyDescent="0.4">
      <c r="A1" s="4" t="s">
        <v>229</v>
      </c>
      <c r="B1" s="4" t="s">
        <v>206</v>
      </c>
      <c r="C1" s="4" t="s">
        <v>230</v>
      </c>
      <c r="D1" s="4" t="s">
        <v>231</v>
      </c>
      <c r="E1" s="4" t="s">
        <v>232</v>
      </c>
      <c r="F1" s="4" t="s">
        <v>98</v>
      </c>
      <c r="G1" s="4" t="s">
        <v>233</v>
      </c>
    </row>
    <row r="2" spans="1:7" x14ac:dyDescent="0.4">
      <c r="A2" s="5" t="s">
        <v>234</v>
      </c>
      <c r="B2" s="5" t="s">
        <v>212</v>
      </c>
      <c r="C2" s="6" t="s">
        <v>235</v>
      </c>
      <c r="D2" s="5">
        <v>10000</v>
      </c>
      <c r="E2" s="9">
        <v>0.85</v>
      </c>
      <c r="F2" s="5" t="s">
        <v>57</v>
      </c>
      <c r="G2" s="9">
        <f t="shared" ref="G2:G16" si="0">D2*E2</f>
        <v>8500</v>
      </c>
    </row>
    <row r="3" spans="1:7" x14ac:dyDescent="0.4">
      <c r="A3" s="5" t="s">
        <v>236</v>
      </c>
      <c r="B3" s="5" t="s">
        <v>214</v>
      </c>
      <c r="C3" s="6" t="s">
        <v>237</v>
      </c>
      <c r="D3" s="5">
        <v>10000</v>
      </c>
      <c r="E3" s="9">
        <v>0.88</v>
      </c>
      <c r="F3" s="5" t="s">
        <v>57</v>
      </c>
      <c r="G3" s="9">
        <f t="shared" si="0"/>
        <v>8800</v>
      </c>
    </row>
    <row r="4" spans="1:7" x14ac:dyDescent="0.4">
      <c r="A4" s="5" t="s">
        <v>238</v>
      </c>
      <c r="B4" s="5" t="s">
        <v>215</v>
      </c>
      <c r="C4" s="6" t="s">
        <v>239</v>
      </c>
      <c r="D4" s="5">
        <v>8</v>
      </c>
      <c r="E4" s="9">
        <v>4950</v>
      </c>
      <c r="F4" s="5" t="s">
        <v>70</v>
      </c>
      <c r="G4" s="9">
        <f t="shared" si="0"/>
        <v>39600</v>
      </c>
    </row>
    <row r="5" spans="1:7" x14ac:dyDescent="0.4">
      <c r="A5" s="5" t="s">
        <v>240</v>
      </c>
      <c r="B5" s="5" t="s">
        <v>216</v>
      </c>
      <c r="C5" s="6" t="s">
        <v>241</v>
      </c>
      <c r="D5" s="5">
        <v>8</v>
      </c>
      <c r="E5" s="9">
        <v>4300</v>
      </c>
      <c r="F5" s="5" t="s">
        <v>57</v>
      </c>
      <c r="G5" s="9">
        <f t="shared" si="0"/>
        <v>34400</v>
      </c>
    </row>
    <row r="6" spans="1:7" x14ac:dyDescent="0.4">
      <c r="A6" s="5" t="s">
        <v>242</v>
      </c>
      <c r="B6" s="5" t="s">
        <v>217</v>
      </c>
      <c r="C6" s="6" t="s">
        <v>243</v>
      </c>
      <c r="D6" s="5">
        <v>5</v>
      </c>
      <c r="E6" s="9">
        <v>2400</v>
      </c>
      <c r="F6" s="5" t="s">
        <v>64</v>
      </c>
      <c r="G6" s="9">
        <f t="shared" si="0"/>
        <v>12000</v>
      </c>
    </row>
    <row r="7" spans="1:7" x14ac:dyDescent="0.4">
      <c r="A7" s="5" t="s">
        <v>244</v>
      </c>
      <c r="B7" s="5" t="s">
        <v>218</v>
      </c>
      <c r="C7" s="6" t="s">
        <v>245</v>
      </c>
      <c r="D7" s="5">
        <v>5</v>
      </c>
      <c r="E7" s="9">
        <v>2950</v>
      </c>
      <c r="F7" s="5" t="s">
        <v>57</v>
      </c>
      <c r="G7" s="9">
        <f t="shared" si="0"/>
        <v>14750</v>
      </c>
    </row>
    <row r="8" spans="1:7" x14ac:dyDescent="0.4">
      <c r="A8" s="5" t="s">
        <v>246</v>
      </c>
      <c r="B8" s="5" t="s">
        <v>219</v>
      </c>
      <c r="C8" s="6" t="s">
        <v>247</v>
      </c>
      <c r="D8" s="5">
        <v>20</v>
      </c>
      <c r="E8" s="9">
        <v>410</v>
      </c>
      <c r="F8" s="5" t="s">
        <v>57</v>
      </c>
      <c r="G8" s="9">
        <f t="shared" si="0"/>
        <v>8200</v>
      </c>
    </row>
    <row r="9" spans="1:7" x14ac:dyDescent="0.4">
      <c r="A9" s="5" t="s">
        <v>248</v>
      </c>
      <c r="B9" s="5" t="s">
        <v>221</v>
      </c>
      <c r="C9" s="6" t="s">
        <v>249</v>
      </c>
      <c r="D9" s="5">
        <v>12</v>
      </c>
      <c r="E9" s="9">
        <v>1850</v>
      </c>
      <c r="F9" s="5" t="s">
        <v>57</v>
      </c>
      <c r="G9" s="9">
        <f t="shared" si="0"/>
        <v>22200</v>
      </c>
    </row>
    <row r="10" spans="1:7" x14ac:dyDescent="0.4">
      <c r="A10" s="5" t="s">
        <v>250</v>
      </c>
      <c r="B10" s="5" t="s">
        <v>222</v>
      </c>
      <c r="C10" s="6" t="s">
        <v>249</v>
      </c>
      <c r="D10" s="5">
        <v>12</v>
      </c>
      <c r="E10" s="9">
        <v>1520</v>
      </c>
      <c r="F10" s="5" t="s">
        <v>64</v>
      </c>
      <c r="G10" s="9">
        <f t="shared" si="0"/>
        <v>18240</v>
      </c>
    </row>
    <row r="11" spans="1:7" x14ac:dyDescent="0.4">
      <c r="A11" s="5" t="s">
        <v>251</v>
      </c>
      <c r="B11" s="5" t="s">
        <v>223</v>
      </c>
      <c r="C11" s="6" t="s">
        <v>249</v>
      </c>
      <c r="D11" s="5">
        <v>12</v>
      </c>
      <c r="E11" s="9">
        <v>2010</v>
      </c>
      <c r="F11" s="5" t="s">
        <v>70</v>
      </c>
      <c r="G11" s="9">
        <f t="shared" si="0"/>
        <v>24120</v>
      </c>
    </row>
    <row r="12" spans="1:7" x14ac:dyDescent="0.4">
      <c r="A12" s="5" t="s">
        <v>252</v>
      </c>
      <c r="B12" s="5" t="s">
        <v>224</v>
      </c>
      <c r="C12" s="6" t="s">
        <v>253</v>
      </c>
      <c r="D12" s="5">
        <v>1</v>
      </c>
      <c r="E12" s="9">
        <v>17400</v>
      </c>
      <c r="F12" s="5" t="s">
        <v>57</v>
      </c>
      <c r="G12" s="9">
        <f t="shared" si="0"/>
        <v>17400</v>
      </c>
    </row>
    <row r="13" spans="1:7" x14ac:dyDescent="0.4">
      <c r="A13" s="5" t="s">
        <v>254</v>
      </c>
      <c r="B13" s="5" t="s">
        <v>225</v>
      </c>
      <c r="C13" s="6" t="s">
        <v>255</v>
      </c>
      <c r="D13" s="5">
        <v>1</v>
      </c>
      <c r="E13" s="9">
        <v>16900</v>
      </c>
      <c r="F13" s="5" t="s">
        <v>57</v>
      </c>
      <c r="G13" s="9">
        <f t="shared" si="0"/>
        <v>16900</v>
      </c>
    </row>
    <row r="14" spans="1:7" x14ac:dyDescent="0.4">
      <c r="A14" s="5" t="s">
        <v>256</v>
      </c>
      <c r="B14" s="5" t="s">
        <v>226</v>
      </c>
      <c r="C14" s="6" t="s">
        <v>257</v>
      </c>
      <c r="D14" s="5">
        <v>1</v>
      </c>
      <c r="E14" s="9">
        <v>18600</v>
      </c>
      <c r="F14" s="5" t="s">
        <v>57</v>
      </c>
      <c r="G14" s="9">
        <f t="shared" si="0"/>
        <v>18600</v>
      </c>
    </row>
    <row r="15" spans="1:7" x14ac:dyDescent="0.4">
      <c r="A15" s="5" t="s">
        <v>258</v>
      </c>
      <c r="B15" s="5" t="s">
        <v>227</v>
      </c>
      <c r="C15" s="6" t="s">
        <v>142</v>
      </c>
      <c r="D15" s="5">
        <v>1</v>
      </c>
      <c r="E15" s="9">
        <v>10800</v>
      </c>
      <c r="F15" s="5" t="s">
        <v>57</v>
      </c>
      <c r="G15" s="9">
        <f t="shared" si="0"/>
        <v>10800</v>
      </c>
    </row>
    <row r="16" spans="1:7" x14ac:dyDescent="0.4">
      <c r="A16" s="5" t="s">
        <v>259</v>
      </c>
      <c r="B16" s="5" t="s">
        <v>228</v>
      </c>
      <c r="C16" s="6" t="s">
        <v>260</v>
      </c>
      <c r="D16" s="5">
        <v>200</v>
      </c>
      <c r="E16" s="9">
        <v>9.5</v>
      </c>
      <c r="F16" s="5" t="s">
        <v>70</v>
      </c>
      <c r="G16" s="9">
        <f t="shared" si="0"/>
        <v>1900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zoomScaleNormal="100" workbookViewId="0">
      <pane ySplit="1" topLeftCell="A2" activePane="bottomLeft" state="frozen"/>
      <selection pane="bottomLeft"/>
    </sheetView>
  </sheetViews>
  <sheetFormatPr defaultColWidth="8.69140625" defaultRowHeight="14.6" x14ac:dyDescent="0.4"/>
  <cols>
    <col min="1" max="1" width="18" customWidth="1"/>
    <col min="2" max="3" width="60" customWidth="1"/>
  </cols>
  <sheetData>
    <row r="1" spans="1:3" x14ac:dyDescent="0.4">
      <c r="A1" s="4" t="s">
        <v>95</v>
      </c>
      <c r="B1" s="4" t="s">
        <v>261</v>
      </c>
      <c r="C1" s="4" t="s">
        <v>262</v>
      </c>
    </row>
    <row r="2" spans="1:3" x14ac:dyDescent="0.4">
      <c r="A2" s="5" t="s">
        <v>104</v>
      </c>
      <c r="B2" s="6" t="s">
        <v>263</v>
      </c>
      <c r="C2" s="6" t="s">
        <v>264</v>
      </c>
    </row>
    <row r="3" spans="1:3" x14ac:dyDescent="0.4">
      <c r="A3" s="5" t="s">
        <v>111</v>
      </c>
      <c r="B3" s="6" t="s">
        <v>265</v>
      </c>
      <c r="C3" s="6" t="s">
        <v>266</v>
      </c>
    </row>
    <row r="4" spans="1:3" x14ac:dyDescent="0.4">
      <c r="A4" s="5" t="s">
        <v>123</v>
      </c>
      <c r="B4" s="6" t="s">
        <v>263</v>
      </c>
      <c r="C4" s="6" t="s">
        <v>264</v>
      </c>
    </row>
    <row r="5" spans="1:3" x14ac:dyDescent="0.4">
      <c r="A5" s="5" t="s">
        <v>117</v>
      </c>
      <c r="B5" s="6" t="s">
        <v>263</v>
      </c>
      <c r="C5" s="6" t="s">
        <v>264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9140625" defaultRowHeight="14.6" x14ac:dyDescent="0.4"/>
  <cols>
    <col min="1" max="2" width="11" customWidth="1"/>
    <col min="3" max="3" width="12" customWidth="1"/>
    <col min="4" max="4" width="13" customWidth="1"/>
    <col min="5" max="5" width="17" customWidth="1"/>
    <col min="6" max="6" width="22" customWidth="1"/>
    <col min="7" max="8" width="30" customWidth="1"/>
  </cols>
  <sheetData>
    <row r="1" spans="1:8" x14ac:dyDescent="0.4">
      <c r="A1" s="4" t="s">
        <v>267</v>
      </c>
      <c r="B1" s="4" t="s">
        <v>93</v>
      </c>
      <c r="C1" s="4" t="s">
        <v>47</v>
      </c>
      <c r="D1" s="4" t="s">
        <v>268</v>
      </c>
      <c r="E1" s="4" t="s">
        <v>269</v>
      </c>
      <c r="F1" s="4" t="s">
        <v>270</v>
      </c>
      <c r="G1" s="4" t="s">
        <v>271</v>
      </c>
      <c r="H1" s="4" t="s">
        <v>272</v>
      </c>
    </row>
    <row r="2" spans="1:8" x14ac:dyDescent="0.4">
      <c r="A2" s="5" t="s">
        <v>273</v>
      </c>
      <c r="B2" s="5" t="s">
        <v>102</v>
      </c>
      <c r="C2" s="5" t="s">
        <v>54</v>
      </c>
      <c r="D2" s="5" t="s">
        <v>106</v>
      </c>
      <c r="E2" s="5" t="s">
        <v>107</v>
      </c>
      <c r="F2" s="5" t="s">
        <v>125</v>
      </c>
      <c r="G2" s="5">
        <f t="shared" ref="G2:G17" si="0">IF(F2="","",DATEVALUE(F2)-DATEVALUE(D2))</f>
        <v>6</v>
      </c>
      <c r="H2" s="5" t="str">
        <f t="shared" ref="H2:H17" si="1">IF(AND(F2="",DATEVALUE(E2)&lt;DATE(2026,9,8)),"Yes","No")</f>
        <v>No</v>
      </c>
    </row>
    <row r="3" spans="1:8" x14ac:dyDescent="0.4">
      <c r="A3" s="5" t="s">
        <v>274</v>
      </c>
      <c r="B3" s="5" t="s">
        <v>102</v>
      </c>
      <c r="C3" s="5" t="s">
        <v>73</v>
      </c>
      <c r="D3" s="5" t="s">
        <v>106</v>
      </c>
      <c r="E3" s="5" t="s">
        <v>107</v>
      </c>
      <c r="F3" s="5" t="s">
        <v>139</v>
      </c>
      <c r="G3" s="5">
        <f t="shared" si="0"/>
        <v>7</v>
      </c>
      <c r="H3" s="5" t="str">
        <f t="shared" si="1"/>
        <v>No</v>
      </c>
    </row>
    <row r="4" spans="1:8" x14ac:dyDescent="0.4">
      <c r="A4" s="5" t="s">
        <v>275</v>
      </c>
      <c r="B4" s="5" t="s">
        <v>109</v>
      </c>
      <c r="C4" s="5" t="s">
        <v>67</v>
      </c>
      <c r="D4" s="5" t="s">
        <v>113</v>
      </c>
      <c r="E4" s="5" t="s">
        <v>114</v>
      </c>
      <c r="F4" s="5" t="s">
        <v>161</v>
      </c>
      <c r="G4" s="5">
        <f t="shared" si="0"/>
        <v>8</v>
      </c>
      <c r="H4" s="5" t="str">
        <f t="shared" si="1"/>
        <v>No</v>
      </c>
    </row>
    <row r="5" spans="1:8" x14ac:dyDescent="0.4">
      <c r="A5" s="5" t="s">
        <v>276</v>
      </c>
      <c r="B5" s="5" t="s">
        <v>109</v>
      </c>
      <c r="C5" s="5" t="s">
        <v>54</v>
      </c>
      <c r="D5" s="5" t="s">
        <v>113</v>
      </c>
      <c r="E5" s="5" t="s">
        <v>114</v>
      </c>
      <c r="F5" s="5" t="s">
        <v>164</v>
      </c>
      <c r="G5" s="5">
        <f t="shared" si="0"/>
        <v>9</v>
      </c>
      <c r="H5" s="5" t="str">
        <f t="shared" si="1"/>
        <v>No</v>
      </c>
    </row>
    <row r="6" spans="1:8" x14ac:dyDescent="0.4">
      <c r="A6" s="5" t="s">
        <v>277</v>
      </c>
      <c r="B6" s="5" t="s">
        <v>115</v>
      </c>
      <c r="C6" s="5" t="s">
        <v>61</v>
      </c>
      <c r="D6" s="5" t="s">
        <v>119</v>
      </c>
      <c r="E6" s="5" t="s">
        <v>120</v>
      </c>
      <c r="F6" s="5" t="s">
        <v>107</v>
      </c>
      <c r="G6" s="5">
        <f t="shared" si="0"/>
        <v>7</v>
      </c>
      <c r="H6" s="5" t="str">
        <f t="shared" si="1"/>
        <v>No</v>
      </c>
    </row>
    <row r="7" spans="1:8" x14ac:dyDescent="0.4">
      <c r="A7" s="5" t="s">
        <v>278</v>
      </c>
      <c r="B7" s="5" t="s">
        <v>115</v>
      </c>
      <c r="C7" s="5" t="s">
        <v>82</v>
      </c>
      <c r="D7" s="5" t="s">
        <v>119</v>
      </c>
      <c r="E7" s="5" t="s">
        <v>120</v>
      </c>
      <c r="F7" s="5" t="s">
        <v>174</v>
      </c>
      <c r="G7" s="5">
        <f t="shared" si="0"/>
        <v>8</v>
      </c>
      <c r="H7" s="5" t="str">
        <f t="shared" si="1"/>
        <v>No</v>
      </c>
    </row>
    <row r="8" spans="1:8" x14ac:dyDescent="0.4">
      <c r="A8" s="5" t="s">
        <v>279</v>
      </c>
      <c r="B8" s="5" t="s">
        <v>121</v>
      </c>
      <c r="C8" s="5" t="s">
        <v>77</v>
      </c>
      <c r="D8" s="5" t="s">
        <v>125</v>
      </c>
      <c r="E8" s="5" t="s">
        <v>126</v>
      </c>
      <c r="F8" s="5" t="s">
        <v>136</v>
      </c>
      <c r="G8" s="5">
        <f t="shared" si="0"/>
        <v>9</v>
      </c>
      <c r="H8" s="5" t="str">
        <f t="shared" si="1"/>
        <v>No</v>
      </c>
    </row>
    <row r="9" spans="1:8" x14ac:dyDescent="0.4">
      <c r="A9" s="7" t="s">
        <v>280</v>
      </c>
      <c r="B9" s="7" t="s">
        <v>121</v>
      </c>
      <c r="C9" s="7" t="s">
        <v>89</v>
      </c>
      <c r="D9" s="7" t="s">
        <v>125</v>
      </c>
      <c r="E9" s="7" t="s">
        <v>126</v>
      </c>
      <c r="F9" s="7"/>
      <c r="G9" s="7" t="str">
        <f t="shared" si="0"/>
        <v/>
      </c>
      <c r="H9" s="7" t="str">
        <f t="shared" si="1"/>
        <v>Yes</v>
      </c>
    </row>
    <row r="10" spans="1:8" x14ac:dyDescent="0.4">
      <c r="A10" s="7" t="s">
        <v>281</v>
      </c>
      <c r="B10" s="7" t="s">
        <v>128</v>
      </c>
      <c r="C10" s="7" t="s">
        <v>73</v>
      </c>
      <c r="D10" s="7" t="s">
        <v>131</v>
      </c>
      <c r="E10" s="7" t="s">
        <v>132</v>
      </c>
      <c r="F10" s="7"/>
      <c r="G10" s="7" t="str">
        <f t="shared" si="0"/>
        <v/>
      </c>
      <c r="H10" s="7" t="str">
        <f t="shared" si="1"/>
        <v>Yes</v>
      </c>
    </row>
    <row r="11" spans="1:8" x14ac:dyDescent="0.4">
      <c r="A11" s="7" t="s">
        <v>282</v>
      </c>
      <c r="B11" s="7" t="s">
        <v>128</v>
      </c>
      <c r="C11" s="7" t="s">
        <v>82</v>
      </c>
      <c r="D11" s="7" t="s">
        <v>131</v>
      </c>
      <c r="E11" s="7" t="s">
        <v>132</v>
      </c>
      <c r="F11" s="7"/>
      <c r="G11" s="7" t="str">
        <f t="shared" si="0"/>
        <v/>
      </c>
      <c r="H11" s="7" t="str">
        <f t="shared" si="1"/>
        <v>Yes</v>
      </c>
    </row>
    <row r="12" spans="1:8" x14ac:dyDescent="0.4">
      <c r="A12" s="5" t="s">
        <v>283</v>
      </c>
      <c r="B12" s="5" t="s">
        <v>133</v>
      </c>
      <c r="C12" s="5" t="s">
        <v>54</v>
      </c>
      <c r="D12" s="5" t="s">
        <v>135</v>
      </c>
      <c r="E12" s="5" t="s">
        <v>136</v>
      </c>
      <c r="F12" s="5" t="s">
        <v>107</v>
      </c>
      <c r="G12" s="5">
        <f t="shared" si="0"/>
        <v>8</v>
      </c>
      <c r="H12" s="5" t="str">
        <f t="shared" si="1"/>
        <v>No</v>
      </c>
    </row>
    <row r="13" spans="1:8" x14ac:dyDescent="0.4">
      <c r="A13" s="5" t="s">
        <v>284</v>
      </c>
      <c r="B13" s="5" t="s">
        <v>133</v>
      </c>
      <c r="C13" s="5" t="s">
        <v>61</v>
      </c>
      <c r="D13" s="5" t="s">
        <v>135</v>
      </c>
      <c r="E13" s="5" t="s">
        <v>136</v>
      </c>
      <c r="F13" s="5" t="s">
        <v>174</v>
      </c>
      <c r="G13" s="5">
        <f t="shared" si="0"/>
        <v>9</v>
      </c>
      <c r="H13" s="5" t="str">
        <f t="shared" si="1"/>
        <v>No</v>
      </c>
    </row>
    <row r="14" spans="1:8" x14ac:dyDescent="0.4">
      <c r="A14" s="5" t="s">
        <v>285</v>
      </c>
      <c r="B14" s="5" t="s">
        <v>133</v>
      </c>
      <c r="C14" s="5" t="s">
        <v>86</v>
      </c>
      <c r="D14" s="5" t="s">
        <v>135</v>
      </c>
      <c r="E14" s="5" t="s">
        <v>136</v>
      </c>
      <c r="F14" s="5" t="s">
        <v>174</v>
      </c>
      <c r="G14" s="5">
        <f t="shared" si="0"/>
        <v>9</v>
      </c>
      <c r="H14" s="5" t="str">
        <f t="shared" si="1"/>
        <v>No</v>
      </c>
    </row>
    <row r="15" spans="1:8" x14ac:dyDescent="0.4">
      <c r="A15" s="5" t="s">
        <v>286</v>
      </c>
      <c r="B15" s="5" t="s">
        <v>137</v>
      </c>
      <c r="C15" s="5" t="s">
        <v>82</v>
      </c>
      <c r="D15" s="5" t="s">
        <v>139</v>
      </c>
      <c r="E15" s="5" t="s">
        <v>140</v>
      </c>
      <c r="F15" s="5" t="s">
        <v>114</v>
      </c>
      <c r="G15" s="5">
        <f t="shared" si="0"/>
        <v>7</v>
      </c>
      <c r="H15" s="5" t="str">
        <f t="shared" si="1"/>
        <v>No</v>
      </c>
    </row>
    <row r="16" spans="1:8" x14ac:dyDescent="0.4">
      <c r="A16" s="5" t="s">
        <v>287</v>
      </c>
      <c r="B16" s="5" t="s">
        <v>137</v>
      </c>
      <c r="C16" s="5" t="s">
        <v>89</v>
      </c>
      <c r="D16" s="5" t="s">
        <v>139</v>
      </c>
      <c r="E16" s="5" t="s">
        <v>140</v>
      </c>
      <c r="F16" s="5" t="s">
        <v>136</v>
      </c>
      <c r="G16" s="5">
        <f t="shared" si="0"/>
        <v>8</v>
      </c>
      <c r="H16" s="5" t="str">
        <f t="shared" si="1"/>
        <v>No</v>
      </c>
    </row>
    <row r="17" spans="1:8" x14ac:dyDescent="0.4">
      <c r="A17" s="5" t="s">
        <v>288</v>
      </c>
      <c r="B17" s="5" t="s">
        <v>141</v>
      </c>
      <c r="C17" s="5" t="s">
        <v>73</v>
      </c>
      <c r="D17" s="5" t="s">
        <v>132</v>
      </c>
      <c r="E17" s="5" t="s">
        <v>143</v>
      </c>
      <c r="F17" s="5" t="s">
        <v>126</v>
      </c>
      <c r="G17" s="5">
        <f t="shared" si="0"/>
        <v>9</v>
      </c>
      <c r="H17" s="5" t="str">
        <f t="shared" si="1"/>
        <v>No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"/>
  <sheetViews>
    <sheetView zoomScaleNormal="100" workbookViewId="0"/>
  </sheetViews>
  <sheetFormatPr defaultColWidth="8.69140625" defaultRowHeight="14.6" x14ac:dyDescent="0.4"/>
  <cols>
    <col min="1" max="1" width="34" customWidth="1"/>
    <col min="2" max="2" width="30" customWidth="1"/>
    <col min="3" max="3" width="24" customWidth="1"/>
    <col min="4" max="4" width="68" customWidth="1"/>
  </cols>
  <sheetData>
    <row r="1" spans="1:4" x14ac:dyDescent="0.4">
      <c r="A1" s="15" t="s">
        <v>289</v>
      </c>
      <c r="B1" t="s">
        <v>143</v>
      </c>
    </row>
    <row r="3" spans="1:4" x14ac:dyDescent="0.4">
      <c r="A3" s="16" t="s">
        <v>290</v>
      </c>
      <c r="B3" s="16" t="s">
        <v>291</v>
      </c>
      <c r="C3" s="16" t="s">
        <v>292</v>
      </c>
      <c r="D3" s="16" t="s">
        <v>293</v>
      </c>
    </row>
    <row r="4" spans="1:4" ht="24.9" x14ac:dyDescent="0.4">
      <c r="A4" s="17" t="s">
        <v>294</v>
      </c>
      <c r="B4" s="17" t="s">
        <v>295</v>
      </c>
      <c r="C4" s="17" t="s">
        <v>296</v>
      </c>
      <c r="D4" s="17" t="s">
        <v>297</v>
      </c>
    </row>
    <row r="5" spans="1:4" ht="24.9" x14ac:dyDescent="0.4">
      <c r="A5" s="17" t="s">
        <v>298</v>
      </c>
      <c r="B5" s="17" t="s">
        <v>299</v>
      </c>
      <c r="C5" s="17" t="s">
        <v>300</v>
      </c>
      <c r="D5" s="17" t="s">
        <v>301</v>
      </c>
    </row>
    <row r="6" spans="1:4" ht="24.9" x14ac:dyDescent="0.4">
      <c r="A6" s="17" t="s">
        <v>302</v>
      </c>
      <c r="B6" s="17" t="s">
        <v>303</v>
      </c>
      <c r="C6" s="17" t="s">
        <v>304</v>
      </c>
      <c r="D6" s="17" t="s">
        <v>305</v>
      </c>
    </row>
    <row r="7" spans="1:4" ht="24.9" x14ac:dyDescent="0.4">
      <c r="A7" s="17" t="s">
        <v>306</v>
      </c>
      <c r="B7" s="17" t="s">
        <v>307</v>
      </c>
      <c r="C7" s="17" t="s">
        <v>304</v>
      </c>
      <c r="D7" s="17" t="s">
        <v>308</v>
      </c>
    </row>
    <row r="8" spans="1:4" ht="24.9" x14ac:dyDescent="0.4">
      <c r="A8" s="17" t="s">
        <v>309</v>
      </c>
      <c r="B8" s="17" t="s">
        <v>310</v>
      </c>
      <c r="C8" s="17" t="s">
        <v>311</v>
      </c>
      <c r="D8" s="17" t="s">
        <v>312</v>
      </c>
    </row>
    <row r="9" spans="1:4" ht="24.9" x14ac:dyDescent="0.4">
      <c r="A9" s="17" t="s">
        <v>313</v>
      </c>
      <c r="B9" s="17" t="s">
        <v>198</v>
      </c>
      <c r="C9" s="17" t="s">
        <v>314</v>
      </c>
      <c r="D9" s="17" t="s">
        <v>315</v>
      </c>
    </row>
    <row r="10" spans="1:4" ht="24.9" x14ac:dyDescent="0.4">
      <c r="A10" s="17" t="s">
        <v>316</v>
      </c>
      <c r="B10" s="17" t="s">
        <v>317</v>
      </c>
      <c r="C10" s="17" t="s">
        <v>318</v>
      </c>
      <c r="D10" s="17" t="s">
        <v>319</v>
      </c>
    </row>
    <row r="12" spans="1:4" x14ac:dyDescent="0.4">
      <c r="A12" t="s">
        <v>320</v>
      </c>
    </row>
    <row r="13" spans="1:4" x14ac:dyDescent="0.4">
      <c r="A13" t="s">
        <v>321</v>
      </c>
      <c r="B13" t="s">
        <v>322</v>
      </c>
      <c r="C13" t="s">
        <v>323</v>
      </c>
    </row>
    <row r="14" spans="1:4" x14ac:dyDescent="0.4">
      <c r="A14" t="s">
        <v>324</v>
      </c>
      <c r="B14" t="s">
        <v>325</v>
      </c>
      <c r="C14" t="s">
        <v>326</v>
      </c>
    </row>
    <row r="15" spans="1:4" x14ac:dyDescent="0.4">
      <c r="A15" t="s">
        <v>327</v>
      </c>
      <c r="B15" t="s">
        <v>328</v>
      </c>
      <c r="C15" t="s">
        <v>329</v>
      </c>
    </row>
    <row r="16" spans="1:4" x14ac:dyDescent="0.4">
      <c r="A16" t="s">
        <v>330</v>
      </c>
      <c r="B16" t="s">
        <v>331</v>
      </c>
      <c r="C16" t="s">
        <v>332</v>
      </c>
    </row>
    <row r="18" spans="1:1" x14ac:dyDescent="0.4">
      <c r="A18" t="s">
        <v>333</v>
      </c>
    </row>
    <row r="19" spans="1:1" x14ac:dyDescent="0.4">
      <c r="A19" t="s">
        <v>334</v>
      </c>
    </row>
    <row r="20" spans="1:1" x14ac:dyDescent="0.4">
      <c r="A20" t="s">
        <v>335</v>
      </c>
    </row>
    <row r="21" spans="1:1" x14ac:dyDescent="0.4">
      <c r="A21" t="s">
        <v>336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Suppliers</vt:lpstr>
      <vt:lpstr>Sourcing_Cases</vt:lpstr>
      <vt:lpstr>Documents</vt:lpstr>
      <vt:lpstr>Quotes</vt:lpstr>
      <vt:lpstr>Quote_LineItems</vt:lpstr>
      <vt:lpstr>Compliance_Requirements</vt:lpstr>
      <vt:lpstr>SLA_Events</vt:lpstr>
      <vt:lpstr>Answer_Key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Chakravarthy, Praveen (Digital Solutions IN I-TP)</dc:creator>
  <dc:description/>
  <cp:lastModifiedBy>Chakravarthy, Praveen (Digital Solutions IN I-TP)</cp:lastModifiedBy>
  <cp:revision>0</cp:revision>
  <dcterms:created xsi:type="dcterms:W3CDTF">2026-09-11T04:58:20Z</dcterms:created>
  <dcterms:modified xsi:type="dcterms:W3CDTF">2026-09-11T05:13:13Z</dcterms:modified>
  <dc:language>en-US</dc:language>
</cp:coreProperties>
</file>